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3.THT\2.THTv2\trunk\1.Document\"/>
    </mc:Choice>
  </mc:AlternateContent>
  <bookViews>
    <workbookView xWindow="0" yWindow="0" windowWidth="16728" windowHeight="7152" tabRatio="852" firstSheet="1" activeTab="12"/>
  </bookViews>
  <sheets>
    <sheet name="Sheet List" sheetId="18" r:id="rId1"/>
    <sheet name="Auth_User" sheetId="3" r:id="rId2"/>
    <sheet name="Auth_Role" sheetId="2" r:id="rId3"/>
    <sheet name="Auth_Menu" sheetId="1" r:id="rId4"/>
    <sheet name="Auth_Action" sheetId="6" r:id="rId5"/>
    <sheet name="Auth_UserInRole" sheetId="4" r:id="rId6"/>
    <sheet name="DC_Parameter" sheetId="51" r:id="rId7"/>
    <sheet name="Announcement" sheetId="32" r:id="rId8"/>
    <sheet name="Calendar" sheetId="7" r:id="rId9"/>
    <sheet name="Warehouse1" sheetId="25" r:id="rId10"/>
    <sheet name="Company" sheetId="53" r:id="rId11"/>
    <sheet name="WareHouse" sheetId="52" r:id="rId12"/>
    <sheet name="Employee" sheetId="54" r:id="rId13"/>
  </sheets>
  <definedNames>
    <definedName name="_xlnm._FilterDatabase" localSheetId="7" hidden="1">Announcement!$A$3:$E$4</definedName>
    <definedName name="_xlnm._FilterDatabase" localSheetId="3" hidden="1">Auth_Menu!$B$3:$J$28</definedName>
    <definedName name="_xlnm._FilterDatabase" localSheetId="6" hidden="1">DC_Parameter!$A$3:$E$4</definedName>
    <definedName name="_xlnm._FilterDatabase" localSheetId="9" hidden="1">Warehouse1!$A$3:$L$4</definedName>
    <definedName name="Sheets">TRANSPOSE(GET.WORKBOOK(1))&amp;T(NOW())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1" i="1" l="1"/>
  <c r="J54" i="1" l="1"/>
  <c r="J55" i="1"/>
  <c r="J44" i="1"/>
  <c r="J45" i="1"/>
  <c r="J46" i="1"/>
  <c r="J47" i="1"/>
  <c r="J48" i="1"/>
  <c r="J49" i="1"/>
  <c r="J50" i="1"/>
  <c r="J51" i="1"/>
  <c r="J40" i="1" l="1"/>
  <c r="J52" i="1" l="1"/>
  <c r="J53" i="1"/>
  <c r="J43" i="1" l="1"/>
  <c r="J39" i="1" l="1"/>
  <c r="J42" i="1"/>
  <c r="J31" i="1" l="1"/>
  <c r="J5" i="1" l="1"/>
  <c r="J6" i="1"/>
  <c r="J7" i="1"/>
  <c r="J8" i="1"/>
  <c r="J9" i="1"/>
  <c r="J10" i="1"/>
  <c r="J11" i="1"/>
  <c r="J12" i="1"/>
  <c r="J13" i="1"/>
  <c r="J14" i="1"/>
  <c r="J15" i="1"/>
  <c r="J16" i="1"/>
  <c r="J22" i="1"/>
  <c r="J26" i="1"/>
  <c r="J27" i="1"/>
  <c r="J28" i="1"/>
  <c r="J29" i="1"/>
  <c r="J30" i="1"/>
  <c r="J32" i="1"/>
  <c r="J33" i="1"/>
  <c r="J34" i="1"/>
  <c r="J35" i="1"/>
  <c r="J36" i="1"/>
  <c r="J37" i="1"/>
  <c r="J38" i="1"/>
  <c r="I17" i="1" l="1"/>
  <c r="E17" i="1"/>
  <c r="E18" i="1" s="1"/>
  <c r="E19" i="1" s="1"/>
  <c r="E20" i="1" s="1"/>
  <c r="E21" i="1" s="1"/>
  <c r="I23" i="1"/>
  <c r="E24" i="1"/>
  <c r="E25" i="1" s="1"/>
  <c r="J17" i="1" l="1"/>
  <c r="I24" i="1"/>
  <c r="J23" i="1"/>
  <c r="I18" i="1"/>
  <c r="I19" i="1" l="1"/>
  <c r="J18" i="1"/>
  <c r="I25" i="1"/>
  <c r="J25" i="1" s="1"/>
  <c r="J24" i="1"/>
  <c r="J19" i="1" l="1"/>
  <c r="I20" i="1"/>
  <c r="F3" i="6"/>
  <c r="J20" i="1" l="1"/>
  <c r="I21" i="1"/>
  <c r="J21" i="1" s="1"/>
  <c r="J4" i="1"/>
  <c r="E4" i="51" l="1"/>
  <c r="E3" i="51"/>
  <c r="A53" i="18" a="1"/>
  <c r="A43" i="18" a="1"/>
  <c r="A60" i="18" a="1"/>
  <c r="A51" i="18" a="1"/>
  <c r="A56" i="18" a="1"/>
  <c r="A47" i="18" a="1"/>
  <c r="A44" i="18" a="1"/>
  <c r="A52" i="18" a="1"/>
  <c r="A62" i="18" a="1"/>
  <c r="A48" i="18" a="1"/>
  <c r="A55" i="18" a="1"/>
  <c r="A57" i="18" a="1"/>
  <c r="A46" i="18" a="1"/>
  <c r="A54" i="18" a="1"/>
  <c r="A58" i="18" a="1"/>
  <c r="A61" i="18" a="1"/>
  <c r="A45" i="18" a="1"/>
  <c r="A50" i="18" a="1"/>
  <c r="A59" i="18" a="1"/>
  <c r="A64" i="18" a="1"/>
  <c r="A49" i="18" a="1"/>
  <c r="A63" i="18" a="1"/>
  <c r="A61" i="18" l="1"/>
  <c r="B61" i="18" s="1"/>
  <c r="A57" i="18"/>
  <c r="B57" i="18" s="1"/>
  <c r="A53" i="18"/>
  <c r="B53" i="18" s="1"/>
  <c r="A64" i="18"/>
  <c r="B64" i="18" s="1"/>
  <c r="A60" i="18"/>
  <c r="B60" i="18" s="1"/>
  <c r="A48" i="18"/>
  <c r="B48" i="18" s="1"/>
  <c r="A63" i="18"/>
  <c r="B63" i="18" s="1"/>
  <c r="A45" i="18"/>
  <c r="B45" i="18" s="1"/>
  <c r="A44" i="18"/>
  <c r="B44" i="18" s="1"/>
  <c r="A50" i="18"/>
  <c r="B50" i="18" s="1"/>
  <c r="A54" i="18"/>
  <c r="B54" i="18" s="1"/>
  <c r="A56" i="18"/>
  <c r="B56" i="18" s="1"/>
  <c r="A49" i="18"/>
  <c r="B49" i="18" s="1"/>
  <c r="A58" i="18"/>
  <c r="B58" i="18" s="1"/>
  <c r="A47" i="18"/>
  <c r="B47" i="18" s="1"/>
  <c r="A43" i="18"/>
  <c r="B43" i="18" s="1"/>
  <c r="A55" i="18"/>
  <c r="B55" i="18" s="1"/>
  <c r="A51" i="18"/>
  <c r="B51" i="18" s="1"/>
  <c r="A46" i="18"/>
  <c r="B46" i="18" s="1"/>
  <c r="A62" i="18"/>
  <c r="B62" i="18" s="1"/>
  <c r="A52" i="18"/>
  <c r="B52" i="18" s="1"/>
  <c r="A59" i="18"/>
  <c r="B59" i="18" s="1"/>
  <c r="L5" i="25" l="1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4" i="25"/>
  <c r="I4" i="3" l="1"/>
  <c r="K4" i="3" s="1"/>
  <c r="E4" i="2"/>
  <c r="G4" i="2" s="1"/>
  <c r="A7" i="18" a="1"/>
  <c r="A14" i="18" a="1"/>
  <c r="A5" i="18" a="1"/>
  <c r="A22" i="18" a="1"/>
  <c r="A17" i="18" a="1"/>
  <c r="A27" i="18" a="1"/>
  <c r="A29" i="18" a="1"/>
  <c r="A20" i="18" a="1"/>
  <c r="A34" i="18" a="1"/>
  <c r="A21" i="18" a="1"/>
  <c r="A4" i="18" a="1"/>
  <c r="A26" i="18" a="1"/>
  <c r="A42" i="18" a="1"/>
  <c r="A37" i="18" a="1"/>
  <c r="A31" i="18" a="1"/>
  <c r="A25" i="18" a="1"/>
  <c r="A41" i="18" a="1"/>
  <c r="A28" i="18" a="1"/>
  <c r="A39" i="18" a="1"/>
  <c r="A35" i="18" a="1"/>
  <c r="A24" i="18" a="1"/>
  <c r="A38" i="18" a="1"/>
  <c r="A40" i="18" a="1"/>
  <c r="A23" i="18" a="1"/>
  <c r="A18" i="18" a="1"/>
  <c r="A16" i="18" a="1"/>
  <c r="A13" i="18" a="1"/>
  <c r="A33" i="18" a="1"/>
  <c r="A12" i="18" a="1"/>
  <c r="A8" i="18" a="1"/>
  <c r="A10" i="18" a="1"/>
  <c r="A19" i="18" a="1"/>
  <c r="A15" i="18" a="1"/>
  <c r="A36" i="18" a="1"/>
  <c r="A6" i="18" a="1"/>
  <c r="A30" i="18" a="1"/>
  <c r="A32" i="18" a="1"/>
  <c r="A3" i="18" a="1"/>
  <c r="A9" i="18" a="1"/>
  <c r="A11" i="18" a="1"/>
  <c r="A40" i="18" l="1"/>
  <c r="B40" i="18" s="1"/>
  <c r="A39" i="18"/>
  <c r="B39" i="18" s="1"/>
  <c r="A42" i="18"/>
  <c r="B42" i="18" s="1"/>
  <c r="A38" i="18"/>
  <c r="B38" i="18" s="1"/>
  <c r="A41" i="18"/>
  <c r="B41" i="18" s="1"/>
  <c r="A37" i="18"/>
  <c r="A36" i="18"/>
  <c r="A31" i="18"/>
  <c r="A7" i="18"/>
  <c r="A30" i="18"/>
  <c r="A26" i="18"/>
  <c r="A22" i="18"/>
  <c r="A18" i="18"/>
  <c r="A14" i="18"/>
  <c r="A10" i="18"/>
  <c r="A6" i="18"/>
  <c r="A35" i="18"/>
  <c r="A19" i="18"/>
  <c r="A3" i="18"/>
  <c r="A33" i="18"/>
  <c r="A29" i="18"/>
  <c r="A21" i="18"/>
  <c r="A13" i="18"/>
  <c r="A5" i="18"/>
  <c r="A23" i="18"/>
  <c r="A11" i="18"/>
  <c r="A34" i="18"/>
  <c r="A25" i="18"/>
  <c r="A17" i="18"/>
  <c r="A9" i="18"/>
  <c r="A27" i="18"/>
  <c r="A15" i="18"/>
  <c r="A32" i="18"/>
  <c r="A28" i="18"/>
  <c r="A24" i="18"/>
  <c r="A20" i="18"/>
  <c r="A16" i="18"/>
  <c r="A12" i="18"/>
  <c r="A8" i="18"/>
  <c r="A4" i="18"/>
  <c r="E5" i="32" l="1"/>
  <c r="E6" i="32"/>
  <c r="E7" i="32"/>
  <c r="E8" i="32"/>
  <c r="E4" i="32"/>
  <c r="E3" i="32"/>
  <c r="B26" i="18" l="1"/>
  <c r="B27" i="18"/>
  <c r="B28" i="18"/>
  <c r="B29" i="18"/>
  <c r="B30" i="18"/>
  <c r="B31" i="18"/>
  <c r="B32" i="18"/>
  <c r="B33" i="18"/>
  <c r="B34" i="18"/>
  <c r="B35" i="18"/>
  <c r="B36" i="18"/>
  <c r="B37" i="18"/>
  <c r="L3" i="25" l="1"/>
  <c r="A2" i="18" a="1"/>
  <c r="B14" i="18" l="1"/>
  <c r="B22" i="18"/>
  <c r="B9" i="18"/>
  <c r="B17" i="18"/>
  <c r="B20" i="18"/>
  <c r="B7" i="18"/>
  <c r="B15" i="18"/>
  <c r="B6" i="18"/>
  <c r="B12" i="18"/>
  <c r="B23" i="18"/>
  <c r="A2" i="18"/>
  <c r="B2" i="18" s="1"/>
  <c r="B10" i="18"/>
  <c r="B18" i="18"/>
  <c r="B24" i="18"/>
  <c r="B8" i="18"/>
  <c r="B4" i="18"/>
  <c r="B5" i="18"/>
  <c r="B13" i="18"/>
  <c r="B21" i="18"/>
  <c r="B16" i="18"/>
  <c r="B25" i="18"/>
  <c r="B3" i="18"/>
  <c r="B11" i="18"/>
  <c r="B19" i="18"/>
  <c r="K3" i="3" l="1"/>
  <c r="E5" i="7" l="1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4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5" i="7"/>
  <c r="D6" i="7"/>
  <c r="D7" i="7"/>
  <c r="D8" i="7"/>
  <c r="D9" i="7"/>
  <c r="D4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5" i="7"/>
  <c r="C6" i="7"/>
  <c r="C7" i="7"/>
  <c r="C8" i="7"/>
  <c r="C9" i="7"/>
  <c r="C4" i="7"/>
  <c r="B10" i="7"/>
  <c r="F10" i="7" s="1"/>
  <c r="B11" i="7"/>
  <c r="F11" i="7" s="1"/>
  <c r="B12" i="7"/>
  <c r="F12" i="7" s="1"/>
  <c r="B13" i="7"/>
  <c r="F13" i="7" s="1"/>
  <c r="B14" i="7"/>
  <c r="F14" i="7" s="1"/>
  <c r="B15" i="7"/>
  <c r="F15" i="7" s="1"/>
  <c r="B16" i="7"/>
  <c r="F16" i="7" s="1"/>
  <c r="B17" i="7"/>
  <c r="F17" i="7" s="1"/>
  <c r="B18" i="7"/>
  <c r="F18" i="7" s="1"/>
  <c r="B19" i="7"/>
  <c r="F19" i="7" s="1"/>
  <c r="B20" i="7"/>
  <c r="F20" i="7" s="1"/>
  <c r="B21" i="7"/>
  <c r="F21" i="7" s="1"/>
  <c r="B22" i="7"/>
  <c r="F22" i="7" s="1"/>
  <c r="B23" i="7"/>
  <c r="F23" i="7" s="1"/>
  <c r="B24" i="7"/>
  <c r="F24" i="7" s="1"/>
  <c r="B25" i="7"/>
  <c r="F25" i="7" s="1"/>
  <c r="B26" i="7"/>
  <c r="F26" i="7" s="1"/>
  <c r="B27" i="7"/>
  <c r="F27" i="7" s="1"/>
  <c r="B28" i="7"/>
  <c r="F28" i="7" s="1"/>
  <c r="B29" i="7"/>
  <c r="F29" i="7" s="1"/>
  <c r="B30" i="7"/>
  <c r="F30" i="7" s="1"/>
  <c r="B31" i="7"/>
  <c r="F31" i="7" s="1"/>
  <c r="B32" i="7"/>
  <c r="F32" i="7" s="1"/>
  <c r="B33" i="7"/>
  <c r="F33" i="7" s="1"/>
  <c r="B34" i="7"/>
  <c r="F34" i="7" s="1"/>
  <c r="B35" i="7"/>
  <c r="F35" i="7" s="1"/>
  <c r="B36" i="7"/>
  <c r="F36" i="7" s="1"/>
  <c r="B37" i="7"/>
  <c r="F37" i="7" s="1"/>
  <c r="B38" i="7"/>
  <c r="F38" i="7" s="1"/>
  <c r="B39" i="7"/>
  <c r="F39" i="7" s="1"/>
  <c r="B40" i="7"/>
  <c r="F40" i="7" s="1"/>
  <c r="B41" i="7"/>
  <c r="F41" i="7" s="1"/>
  <c r="B42" i="7"/>
  <c r="F42" i="7" s="1"/>
  <c r="B43" i="7"/>
  <c r="F43" i="7" s="1"/>
  <c r="B44" i="7"/>
  <c r="F44" i="7" s="1"/>
  <c r="B45" i="7"/>
  <c r="F45" i="7" s="1"/>
  <c r="B46" i="7"/>
  <c r="F46" i="7" s="1"/>
  <c r="B47" i="7"/>
  <c r="F47" i="7" s="1"/>
  <c r="B48" i="7"/>
  <c r="F48" i="7" s="1"/>
  <c r="B49" i="7"/>
  <c r="F49" i="7" s="1"/>
  <c r="B50" i="7"/>
  <c r="F50" i="7" s="1"/>
  <c r="B51" i="7"/>
  <c r="F51" i="7" s="1"/>
  <c r="B52" i="7"/>
  <c r="F52" i="7" s="1"/>
  <c r="B53" i="7"/>
  <c r="F53" i="7" s="1"/>
  <c r="B54" i="7"/>
  <c r="F54" i="7" s="1"/>
  <c r="B55" i="7"/>
  <c r="F55" i="7" s="1"/>
  <c r="B56" i="7"/>
  <c r="F56" i="7" s="1"/>
  <c r="B57" i="7"/>
  <c r="F57" i="7" s="1"/>
  <c r="B58" i="7"/>
  <c r="F58" i="7" s="1"/>
  <c r="B59" i="7"/>
  <c r="F59" i="7" s="1"/>
  <c r="B60" i="7"/>
  <c r="F60" i="7" s="1"/>
  <c r="B61" i="7"/>
  <c r="F61" i="7" s="1"/>
  <c r="B62" i="7"/>
  <c r="F62" i="7" s="1"/>
  <c r="B63" i="7"/>
  <c r="F63" i="7" s="1"/>
  <c r="B64" i="7"/>
  <c r="F64" i="7" s="1"/>
  <c r="B65" i="7"/>
  <c r="F65" i="7" s="1"/>
  <c r="B66" i="7"/>
  <c r="F66" i="7" s="1"/>
  <c r="B67" i="7"/>
  <c r="F67" i="7" s="1"/>
  <c r="B68" i="7"/>
  <c r="F68" i="7" s="1"/>
  <c r="B69" i="7"/>
  <c r="F69" i="7" s="1"/>
  <c r="B70" i="7"/>
  <c r="F70" i="7" s="1"/>
  <c r="B71" i="7"/>
  <c r="F71" i="7" s="1"/>
  <c r="B72" i="7"/>
  <c r="F72" i="7" s="1"/>
  <c r="B73" i="7"/>
  <c r="F73" i="7" s="1"/>
  <c r="B74" i="7"/>
  <c r="F74" i="7" s="1"/>
  <c r="B75" i="7"/>
  <c r="F75" i="7" s="1"/>
  <c r="B76" i="7"/>
  <c r="F76" i="7" s="1"/>
  <c r="B77" i="7"/>
  <c r="F77" i="7" s="1"/>
  <c r="B78" i="7"/>
  <c r="F78" i="7" s="1"/>
  <c r="B79" i="7"/>
  <c r="F79" i="7" s="1"/>
  <c r="B80" i="7"/>
  <c r="F80" i="7" s="1"/>
  <c r="B81" i="7"/>
  <c r="F81" i="7" s="1"/>
  <c r="B82" i="7"/>
  <c r="F82" i="7" s="1"/>
  <c r="B83" i="7"/>
  <c r="F83" i="7" s="1"/>
  <c r="B84" i="7"/>
  <c r="F84" i="7" s="1"/>
  <c r="B85" i="7"/>
  <c r="F85" i="7" s="1"/>
  <c r="B86" i="7"/>
  <c r="F86" i="7" s="1"/>
  <c r="B87" i="7"/>
  <c r="F87" i="7" s="1"/>
  <c r="B88" i="7"/>
  <c r="F88" i="7" s="1"/>
  <c r="B89" i="7"/>
  <c r="F89" i="7" s="1"/>
  <c r="B90" i="7"/>
  <c r="F90" i="7" s="1"/>
  <c r="B91" i="7"/>
  <c r="F91" i="7" s="1"/>
  <c r="B92" i="7"/>
  <c r="F92" i="7" s="1"/>
  <c r="B93" i="7"/>
  <c r="F93" i="7" s="1"/>
  <c r="B94" i="7"/>
  <c r="F94" i="7" s="1"/>
  <c r="B95" i="7"/>
  <c r="F95" i="7" s="1"/>
  <c r="B96" i="7"/>
  <c r="F96" i="7" s="1"/>
  <c r="B97" i="7"/>
  <c r="F97" i="7" s="1"/>
  <c r="B98" i="7"/>
  <c r="F98" i="7" s="1"/>
  <c r="B99" i="7"/>
  <c r="F99" i="7" s="1"/>
  <c r="B100" i="7"/>
  <c r="F100" i="7" s="1"/>
  <c r="B101" i="7"/>
  <c r="F101" i="7" s="1"/>
  <c r="B102" i="7"/>
  <c r="F102" i="7" s="1"/>
  <c r="B103" i="7"/>
  <c r="F103" i="7" s="1"/>
  <c r="B104" i="7"/>
  <c r="F104" i="7" s="1"/>
  <c r="B105" i="7"/>
  <c r="F105" i="7" s="1"/>
  <c r="B106" i="7"/>
  <c r="F106" i="7" s="1"/>
  <c r="B107" i="7"/>
  <c r="F107" i="7" s="1"/>
  <c r="B108" i="7"/>
  <c r="F108" i="7" s="1"/>
  <c r="B109" i="7"/>
  <c r="F109" i="7" s="1"/>
  <c r="B110" i="7"/>
  <c r="F110" i="7" s="1"/>
  <c r="B111" i="7"/>
  <c r="F111" i="7" s="1"/>
  <c r="B112" i="7"/>
  <c r="F112" i="7" s="1"/>
  <c r="B113" i="7"/>
  <c r="F113" i="7" s="1"/>
  <c r="B114" i="7"/>
  <c r="F114" i="7" s="1"/>
  <c r="B115" i="7"/>
  <c r="F115" i="7" s="1"/>
  <c r="B116" i="7"/>
  <c r="F116" i="7" s="1"/>
  <c r="B117" i="7"/>
  <c r="F117" i="7" s="1"/>
  <c r="B118" i="7"/>
  <c r="F118" i="7" s="1"/>
  <c r="B119" i="7"/>
  <c r="F119" i="7" s="1"/>
  <c r="B120" i="7"/>
  <c r="F120" i="7" s="1"/>
  <c r="B121" i="7"/>
  <c r="F121" i="7" s="1"/>
  <c r="B122" i="7"/>
  <c r="F122" i="7" s="1"/>
  <c r="B123" i="7"/>
  <c r="F123" i="7" s="1"/>
  <c r="B124" i="7"/>
  <c r="F124" i="7" s="1"/>
  <c r="B125" i="7"/>
  <c r="F125" i="7" s="1"/>
  <c r="B126" i="7"/>
  <c r="F126" i="7" s="1"/>
  <c r="B127" i="7"/>
  <c r="F127" i="7" s="1"/>
  <c r="B128" i="7"/>
  <c r="F128" i="7" s="1"/>
  <c r="B129" i="7"/>
  <c r="F129" i="7" s="1"/>
  <c r="B130" i="7"/>
  <c r="F130" i="7" s="1"/>
  <c r="B131" i="7"/>
  <c r="F131" i="7" s="1"/>
  <c r="B132" i="7"/>
  <c r="F132" i="7" s="1"/>
  <c r="B133" i="7"/>
  <c r="F133" i="7" s="1"/>
  <c r="B134" i="7"/>
  <c r="F134" i="7" s="1"/>
  <c r="B135" i="7"/>
  <c r="F135" i="7" s="1"/>
  <c r="B136" i="7"/>
  <c r="F136" i="7" s="1"/>
  <c r="B137" i="7"/>
  <c r="F137" i="7" s="1"/>
  <c r="B138" i="7"/>
  <c r="F138" i="7" s="1"/>
  <c r="B139" i="7"/>
  <c r="F139" i="7" s="1"/>
  <c r="B140" i="7"/>
  <c r="F140" i="7" s="1"/>
  <c r="B141" i="7"/>
  <c r="F141" i="7" s="1"/>
  <c r="B142" i="7"/>
  <c r="F142" i="7" s="1"/>
  <c r="B143" i="7"/>
  <c r="F143" i="7" s="1"/>
  <c r="B144" i="7"/>
  <c r="F144" i="7" s="1"/>
  <c r="B145" i="7"/>
  <c r="F145" i="7" s="1"/>
  <c r="B146" i="7"/>
  <c r="F146" i="7" s="1"/>
  <c r="B147" i="7"/>
  <c r="F147" i="7" s="1"/>
  <c r="B148" i="7"/>
  <c r="F148" i="7" s="1"/>
  <c r="B149" i="7"/>
  <c r="F149" i="7" s="1"/>
  <c r="B150" i="7"/>
  <c r="F150" i="7" s="1"/>
  <c r="B151" i="7"/>
  <c r="F151" i="7" s="1"/>
  <c r="B152" i="7"/>
  <c r="F152" i="7" s="1"/>
  <c r="B153" i="7"/>
  <c r="F153" i="7" s="1"/>
  <c r="B154" i="7"/>
  <c r="F154" i="7" s="1"/>
  <c r="B155" i="7"/>
  <c r="F155" i="7" s="1"/>
  <c r="B156" i="7"/>
  <c r="F156" i="7" s="1"/>
  <c r="B157" i="7"/>
  <c r="F157" i="7" s="1"/>
  <c r="B158" i="7"/>
  <c r="F158" i="7" s="1"/>
  <c r="B159" i="7"/>
  <c r="F159" i="7" s="1"/>
  <c r="B160" i="7"/>
  <c r="F160" i="7" s="1"/>
  <c r="B161" i="7"/>
  <c r="F161" i="7" s="1"/>
  <c r="B162" i="7"/>
  <c r="F162" i="7" s="1"/>
  <c r="B163" i="7"/>
  <c r="F163" i="7" s="1"/>
  <c r="B164" i="7"/>
  <c r="F164" i="7" s="1"/>
  <c r="B165" i="7"/>
  <c r="F165" i="7" s="1"/>
  <c r="B166" i="7"/>
  <c r="F166" i="7" s="1"/>
  <c r="B167" i="7"/>
  <c r="F167" i="7" s="1"/>
  <c r="B168" i="7"/>
  <c r="F168" i="7" s="1"/>
  <c r="B169" i="7"/>
  <c r="F169" i="7" s="1"/>
  <c r="B170" i="7"/>
  <c r="F170" i="7" s="1"/>
  <c r="B171" i="7"/>
  <c r="F171" i="7" s="1"/>
  <c r="B172" i="7"/>
  <c r="F172" i="7" s="1"/>
  <c r="B173" i="7"/>
  <c r="F173" i="7" s="1"/>
  <c r="B174" i="7"/>
  <c r="F174" i="7" s="1"/>
  <c r="B175" i="7"/>
  <c r="F175" i="7" s="1"/>
  <c r="B176" i="7"/>
  <c r="F176" i="7" s="1"/>
  <c r="B177" i="7"/>
  <c r="F177" i="7" s="1"/>
  <c r="B178" i="7"/>
  <c r="F178" i="7" s="1"/>
  <c r="B179" i="7"/>
  <c r="F179" i="7" s="1"/>
  <c r="B180" i="7"/>
  <c r="F180" i="7" s="1"/>
  <c r="B181" i="7"/>
  <c r="F181" i="7" s="1"/>
  <c r="B182" i="7"/>
  <c r="F182" i="7" s="1"/>
  <c r="B183" i="7"/>
  <c r="F183" i="7" s="1"/>
  <c r="B184" i="7"/>
  <c r="F184" i="7" s="1"/>
  <c r="B185" i="7"/>
  <c r="F185" i="7" s="1"/>
  <c r="B186" i="7"/>
  <c r="F186" i="7" s="1"/>
  <c r="B187" i="7"/>
  <c r="F187" i="7" s="1"/>
  <c r="B188" i="7"/>
  <c r="F188" i="7" s="1"/>
  <c r="B189" i="7"/>
  <c r="F189" i="7" s="1"/>
  <c r="B190" i="7"/>
  <c r="F190" i="7" s="1"/>
  <c r="B191" i="7"/>
  <c r="F191" i="7" s="1"/>
  <c r="B192" i="7"/>
  <c r="F192" i="7" s="1"/>
  <c r="B193" i="7"/>
  <c r="F193" i="7" s="1"/>
  <c r="B194" i="7"/>
  <c r="F194" i="7" s="1"/>
  <c r="B195" i="7"/>
  <c r="F195" i="7" s="1"/>
  <c r="B196" i="7"/>
  <c r="F196" i="7" s="1"/>
  <c r="B197" i="7"/>
  <c r="F197" i="7" s="1"/>
  <c r="B198" i="7"/>
  <c r="F198" i="7" s="1"/>
  <c r="B199" i="7"/>
  <c r="F199" i="7" s="1"/>
  <c r="B200" i="7"/>
  <c r="F200" i="7" s="1"/>
  <c r="B201" i="7"/>
  <c r="F201" i="7" s="1"/>
  <c r="B202" i="7"/>
  <c r="F202" i="7" s="1"/>
  <c r="B203" i="7"/>
  <c r="F203" i="7" s="1"/>
  <c r="B204" i="7"/>
  <c r="F204" i="7" s="1"/>
  <c r="B205" i="7"/>
  <c r="F205" i="7" s="1"/>
  <c r="B206" i="7"/>
  <c r="F206" i="7" s="1"/>
  <c r="B207" i="7"/>
  <c r="F207" i="7" s="1"/>
  <c r="B208" i="7"/>
  <c r="F208" i="7" s="1"/>
  <c r="B209" i="7"/>
  <c r="F209" i="7" s="1"/>
  <c r="B210" i="7"/>
  <c r="F210" i="7" s="1"/>
  <c r="B211" i="7"/>
  <c r="F211" i="7" s="1"/>
  <c r="B212" i="7"/>
  <c r="F212" i="7" s="1"/>
  <c r="B213" i="7"/>
  <c r="F213" i="7" s="1"/>
  <c r="B214" i="7"/>
  <c r="F214" i="7" s="1"/>
  <c r="B215" i="7"/>
  <c r="F215" i="7" s="1"/>
  <c r="B216" i="7"/>
  <c r="F216" i="7" s="1"/>
  <c r="B217" i="7"/>
  <c r="F217" i="7" s="1"/>
  <c r="B218" i="7"/>
  <c r="F218" i="7" s="1"/>
  <c r="B219" i="7"/>
  <c r="F219" i="7" s="1"/>
  <c r="B220" i="7"/>
  <c r="F220" i="7" s="1"/>
  <c r="B221" i="7"/>
  <c r="F221" i="7" s="1"/>
  <c r="B222" i="7"/>
  <c r="F222" i="7" s="1"/>
  <c r="B223" i="7"/>
  <c r="F223" i="7" s="1"/>
  <c r="B224" i="7"/>
  <c r="F224" i="7" s="1"/>
  <c r="B225" i="7"/>
  <c r="F225" i="7" s="1"/>
  <c r="B226" i="7"/>
  <c r="F226" i="7" s="1"/>
  <c r="B227" i="7"/>
  <c r="F227" i="7" s="1"/>
  <c r="B228" i="7"/>
  <c r="F228" i="7" s="1"/>
  <c r="B229" i="7"/>
  <c r="F229" i="7" s="1"/>
  <c r="B230" i="7"/>
  <c r="F230" i="7" s="1"/>
  <c r="B231" i="7"/>
  <c r="F231" i="7" s="1"/>
  <c r="B232" i="7"/>
  <c r="F232" i="7" s="1"/>
  <c r="B233" i="7"/>
  <c r="F233" i="7" s="1"/>
  <c r="B234" i="7"/>
  <c r="F234" i="7" s="1"/>
  <c r="B235" i="7"/>
  <c r="F235" i="7" s="1"/>
  <c r="B236" i="7"/>
  <c r="F236" i="7" s="1"/>
  <c r="B237" i="7"/>
  <c r="F237" i="7" s="1"/>
  <c r="B238" i="7"/>
  <c r="F238" i="7" s="1"/>
  <c r="B239" i="7"/>
  <c r="F239" i="7" s="1"/>
  <c r="B240" i="7"/>
  <c r="F240" i="7" s="1"/>
  <c r="B241" i="7"/>
  <c r="F241" i="7" s="1"/>
  <c r="B242" i="7"/>
  <c r="F242" i="7" s="1"/>
  <c r="B243" i="7"/>
  <c r="F243" i="7" s="1"/>
  <c r="B244" i="7"/>
  <c r="F244" i="7" s="1"/>
  <c r="B245" i="7"/>
  <c r="F245" i="7" s="1"/>
  <c r="B246" i="7"/>
  <c r="F246" i="7" s="1"/>
  <c r="B247" i="7"/>
  <c r="F247" i="7" s="1"/>
  <c r="B248" i="7"/>
  <c r="F248" i="7" s="1"/>
  <c r="B249" i="7"/>
  <c r="F249" i="7" s="1"/>
  <c r="B250" i="7"/>
  <c r="F250" i="7" s="1"/>
  <c r="B251" i="7"/>
  <c r="F251" i="7" s="1"/>
  <c r="B252" i="7"/>
  <c r="F252" i="7" s="1"/>
  <c r="B253" i="7"/>
  <c r="F253" i="7" s="1"/>
  <c r="B254" i="7"/>
  <c r="F254" i="7" s="1"/>
  <c r="B255" i="7"/>
  <c r="F255" i="7" s="1"/>
  <c r="B256" i="7"/>
  <c r="F256" i="7" s="1"/>
  <c r="B257" i="7"/>
  <c r="F257" i="7" s="1"/>
  <c r="B258" i="7"/>
  <c r="F258" i="7" s="1"/>
  <c r="B259" i="7"/>
  <c r="F259" i="7" s="1"/>
  <c r="B260" i="7"/>
  <c r="F260" i="7" s="1"/>
  <c r="B261" i="7"/>
  <c r="F261" i="7" s="1"/>
  <c r="B262" i="7"/>
  <c r="F262" i="7" s="1"/>
  <c r="B263" i="7"/>
  <c r="F263" i="7" s="1"/>
  <c r="B264" i="7"/>
  <c r="F264" i="7" s="1"/>
  <c r="B265" i="7"/>
  <c r="F265" i="7" s="1"/>
  <c r="B266" i="7"/>
  <c r="F266" i="7" s="1"/>
  <c r="B267" i="7"/>
  <c r="F267" i="7" s="1"/>
  <c r="B268" i="7"/>
  <c r="F268" i="7" s="1"/>
  <c r="B269" i="7"/>
  <c r="F269" i="7" s="1"/>
  <c r="B270" i="7"/>
  <c r="F270" i="7" s="1"/>
  <c r="B271" i="7"/>
  <c r="F271" i="7" s="1"/>
  <c r="B272" i="7"/>
  <c r="F272" i="7" s="1"/>
  <c r="B273" i="7"/>
  <c r="F273" i="7" s="1"/>
  <c r="B274" i="7"/>
  <c r="F274" i="7" s="1"/>
  <c r="B275" i="7"/>
  <c r="F275" i="7" s="1"/>
  <c r="B276" i="7"/>
  <c r="F276" i="7" s="1"/>
  <c r="B277" i="7"/>
  <c r="F277" i="7" s="1"/>
  <c r="B278" i="7"/>
  <c r="F278" i="7" s="1"/>
  <c r="B279" i="7"/>
  <c r="F279" i="7" s="1"/>
  <c r="B280" i="7"/>
  <c r="F280" i="7" s="1"/>
  <c r="B281" i="7"/>
  <c r="F281" i="7" s="1"/>
  <c r="B282" i="7"/>
  <c r="F282" i="7" s="1"/>
  <c r="B283" i="7"/>
  <c r="F283" i="7" s="1"/>
  <c r="B284" i="7"/>
  <c r="F284" i="7" s="1"/>
  <c r="B285" i="7"/>
  <c r="F285" i="7" s="1"/>
  <c r="B286" i="7"/>
  <c r="F286" i="7" s="1"/>
  <c r="B287" i="7"/>
  <c r="F287" i="7" s="1"/>
  <c r="B288" i="7"/>
  <c r="F288" i="7" s="1"/>
  <c r="B289" i="7"/>
  <c r="F289" i="7" s="1"/>
  <c r="B290" i="7"/>
  <c r="F290" i="7" s="1"/>
  <c r="B291" i="7"/>
  <c r="F291" i="7" s="1"/>
  <c r="B292" i="7"/>
  <c r="F292" i="7" s="1"/>
  <c r="B293" i="7"/>
  <c r="F293" i="7" s="1"/>
  <c r="B294" i="7"/>
  <c r="F294" i="7" s="1"/>
  <c r="B295" i="7"/>
  <c r="F295" i="7" s="1"/>
  <c r="B296" i="7"/>
  <c r="F296" i="7" s="1"/>
  <c r="B297" i="7"/>
  <c r="F297" i="7" s="1"/>
  <c r="B298" i="7"/>
  <c r="F298" i="7" s="1"/>
  <c r="B299" i="7"/>
  <c r="F299" i="7" s="1"/>
  <c r="B300" i="7"/>
  <c r="F300" i="7" s="1"/>
  <c r="B301" i="7"/>
  <c r="F301" i="7" s="1"/>
  <c r="B302" i="7"/>
  <c r="F302" i="7" s="1"/>
  <c r="B303" i="7"/>
  <c r="F303" i="7" s="1"/>
  <c r="B304" i="7"/>
  <c r="F304" i="7" s="1"/>
  <c r="B305" i="7"/>
  <c r="F305" i="7" s="1"/>
  <c r="B306" i="7"/>
  <c r="F306" i="7" s="1"/>
  <c r="B307" i="7"/>
  <c r="F307" i="7" s="1"/>
  <c r="B308" i="7"/>
  <c r="F308" i="7" s="1"/>
  <c r="B309" i="7"/>
  <c r="F309" i="7" s="1"/>
  <c r="B310" i="7"/>
  <c r="F310" i="7" s="1"/>
  <c r="B311" i="7"/>
  <c r="F311" i="7" s="1"/>
  <c r="B312" i="7"/>
  <c r="F312" i="7" s="1"/>
  <c r="B313" i="7"/>
  <c r="F313" i="7" s="1"/>
  <c r="B314" i="7"/>
  <c r="F314" i="7" s="1"/>
  <c r="B315" i="7"/>
  <c r="F315" i="7" s="1"/>
  <c r="B316" i="7"/>
  <c r="F316" i="7" s="1"/>
  <c r="B317" i="7"/>
  <c r="F317" i="7" s="1"/>
  <c r="B318" i="7"/>
  <c r="F318" i="7" s="1"/>
  <c r="B319" i="7"/>
  <c r="F319" i="7" s="1"/>
  <c r="B320" i="7"/>
  <c r="F320" i="7" s="1"/>
  <c r="B321" i="7"/>
  <c r="F321" i="7" s="1"/>
  <c r="B322" i="7"/>
  <c r="F322" i="7" s="1"/>
  <c r="B323" i="7"/>
  <c r="F323" i="7" s="1"/>
  <c r="B324" i="7"/>
  <c r="F324" i="7" s="1"/>
  <c r="B325" i="7"/>
  <c r="F325" i="7" s="1"/>
  <c r="B326" i="7"/>
  <c r="F326" i="7" s="1"/>
  <c r="B327" i="7"/>
  <c r="F327" i="7" s="1"/>
  <c r="B328" i="7"/>
  <c r="F328" i="7" s="1"/>
  <c r="B329" i="7"/>
  <c r="F329" i="7" s="1"/>
  <c r="B330" i="7"/>
  <c r="F330" i="7" s="1"/>
  <c r="B331" i="7"/>
  <c r="F331" i="7" s="1"/>
  <c r="B332" i="7"/>
  <c r="F332" i="7" s="1"/>
  <c r="B333" i="7"/>
  <c r="F333" i="7" s="1"/>
  <c r="B334" i="7"/>
  <c r="F334" i="7" s="1"/>
  <c r="B335" i="7"/>
  <c r="F335" i="7" s="1"/>
  <c r="B336" i="7"/>
  <c r="F336" i="7" s="1"/>
  <c r="B337" i="7"/>
  <c r="F337" i="7" s="1"/>
  <c r="B338" i="7"/>
  <c r="F338" i="7" s="1"/>
  <c r="B339" i="7"/>
  <c r="F339" i="7" s="1"/>
  <c r="B340" i="7"/>
  <c r="F340" i="7" s="1"/>
  <c r="B341" i="7"/>
  <c r="F341" i="7" s="1"/>
  <c r="B342" i="7"/>
  <c r="F342" i="7" s="1"/>
  <c r="B343" i="7"/>
  <c r="F343" i="7" s="1"/>
  <c r="B344" i="7"/>
  <c r="F344" i="7" s="1"/>
  <c r="B345" i="7"/>
  <c r="F345" i="7" s="1"/>
  <c r="B346" i="7"/>
  <c r="F346" i="7" s="1"/>
  <c r="B347" i="7"/>
  <c r="F347" i="7" s="1"/>
  <c r="B348" i="7"/>
  <c r="F348" i="7" s="1"/>
  <c r="B349" i="7"/>
  <c r="F349" i="7" s="1"/>
  <c r="B350" i="7"/>
  <c r="F350" i="7" s="1"/>
  <c r="B351" i="7"/>
  <c r="F351" i="7" s="1"/>
  <c r="B352" i="7"/>
  <c r="F352" i="7" s="1"/>
  <c r="B353" i="7"/>
  <c r="F353" i="7" s="1"/>
  <c r="B354" i="7"/>
  <c r="F354" i="7" s="1"/>
  <c r="B355" i="7"/>
  <c r="F355" i="7" s="1"/>
  <c r="B356" i="7"/>
  <c r="F356" i="7" s="1"/>
  <c r="B357" i="7"/>
  <c r="F357" i="7" s="1"/>
  <c r="B358" i="7"/>
  <c r="F358" i="7" s="1"/>
  <c r="B359" i="7"/>
  <c r="F359" i="7" s="1"/>
  <c r="B360" i="7"/>
  <c r="F360" i="7" s="1"/>
  <c r="B361" i="7"/>
  <c r="F361" i="7" s="1"/>
  <c r="B362" i="7"/>
  <c r="F362" i="7" s="1"/>
  <c r="B363" i="7"/>
  <c r="F363" i="7" s="1"/>
  <c r="B364" i="7"/>
  <c r="F364" i="7" s="1"/>
  <c r="B365" i="7"/>
  <c r="F365" i="7" s="1"/>
  <c r="B366" i="7"/>
  <c r="F366" i="7" s="1"/>
  <c r="B367" i="7"/>
  <c r="F367" i="7" s="1"/>
  <c r="B368" i="7"/>
  <c r="F368" i="7" s="1"/>
  <c r="B369" i="7"/>
  <c r="F369" i="7" s="1"/>
  <c r="B370" i="7"/>
  <c r="F370" i="7" s="1"/>
  <c r="B371" i="7"/>
  <c r="F371" i="7" s="1"/>
  <c r="B372" i="7"/>
  <c r="F372" i="7" s="1"/>
  <c r="B373" i="7"/>
  <c r="F373" i="7" s="1"/>
  <c r="B374" i="7"/>
  <c r="F374" i="7" s="1"/>
  <c r="B375" i="7"/>
  <c r="F375" i="7" s="1"/>
  <c r="B376" i="7"/>
  <c r="F376" i="7" s="1"/>
  <c r="B377" i="7"/>
  <c r="F377" i="7" s="1"/>
  <c r="B378" i="7"/>
  <c r="F378" i="7" s="1"/>
  <c r="B379" i="7"/>
  <c r="F379" i="7" s="1"/>
  <c r="B380" i="7"/>
  <c r="F380" i="7" s="1"/>
  <c r="B381" i="7"/>
  <c r="F381" i="7" s="1"/>
  <c r="B382" i="7"/>
  <c r="F382" i="7" s="1"/>
  <c r="B383" i="7"/>
  <c r="F383" i="7" s="1"/>
  <c r="B384" i="7"/>
  <c r="F384" i="7" s="1"/>
  <c r="B385" i="7"/>
  <c r="F385" i="7" s="1"/>
  <c r="B386" i="7"/>
  <c r="F386" i="7" s="1"/>
  <c r="B387" i="7"/>
  <c r="F387" i="7" s="1"/>
  <c r="B388" i="7"/>
  <c r="F388" i="7" s="1"/>
  <c r="B389" i="7"/>
  <c r="F389" i="7" s="1"/>
  <c r="B390" i="7"/>
  <c r="F390" i="7" s="1"/>
  <c r="B391" i="7"/>
  <c r="F391" i="7" s="1"/>
  <c r="B392" i="7"/>
  <c r="F392" i="7" s="1"/>
  <c r="B393" i="7"/>
  <c r="F393" i="7" s="1"/>
  <c r="B394" i="7"/>
  <c r="F394" i="7" s="1"/>
  <c r="B395" i="7"/>
  <c r="F395" i="7" s="1"/>
  <c r="B396" i="7"/>
  <c r="F396" i="7" s="1"/>
  <c r="B397" i="7"/>
  <c r="F397" i="7" s="1"/>
  <c r="B398" i="7"/>
  <c r="F398" i="7" s="1"/>
  <c r="B399" i="7"/>
  <c r="F399" i="7" s="1"/>
  <c r="B400" i="7"/>
  <c r="F400" i="7" s="1"/>
  <c r="B401" i="7"/>
  <c r="F401" i="7" s="1"/>
  <c r="B402" i="7"/>
  <c r="F402" i="7" s="1"/>
  <c r="B403" i="7"/>
  <c r="F403" i="7" s="1"/>
  <c r="B404" i="7"/>
  <c r="F404" i="7" s="1"/>
  <c r="B405" i="7"/>
  <c r="F405" i="7" s="1"/>
  <c r="B406" i="7"/>
  <c r="F406" i="7" s="1"/>
  <c r="B407" i="7"/>
  <c r="F407" i="7" s="1"/>
  <c r="B408" i="7"/>
  <c r="F408" i="7" s="1"/>
  <c r="B409" i="7"/>
  <c r="F409" i="7" s="1"/>
  <c r="B410" i="7"/>
  <c r="F410" i="7" s="1"/>
  <c r="B411" i="7"/>
  <c r="F411" i="7" s="1"/>
  <c r="B412" i="7"/>
  <c r="F412" i="7" s="1"/>
  <c r="B413" i="7"/>
  <c r="F413" i="7" s="1"/>
  <c r="B414" i="7"/>
  <c r="F414" i="7" s="1"/>
  <c r="B415" i="7"/>
  <c r="F415" i="7" s="1"/>
  <c r="B416" i="7"/>
  <c r="F416" i="7" s="1"/>
  <c r="B417" i="7"/>
  <c r="F417" i="7" s="1"/>
  <c r="B418" i="7"/>
  <c r="F418" i="7" s="1"/>
  <c r="B419" i="7"/>
  <c r="F419" i="7" s="1"/>
  <c r="B420" i="7"/>
  <c r="F420" i="7" s="1"/>
  <c r="B421" i="7"/>
  <c r="F421" i="7" s="1"/>
  <c r="B422" i="7"/>
  <c r="F422" i="7" s="1"/>
  <c r="B423" i="7"/>
  <c r="F423" i="7" s="1"/>
  <c r="B424" i="7"/>
  <c r="F424" i="7" s="1"/>
  <c r="B425" i="7"/>
  <c r="F425" i="7" s="1"/>
  <c r="B426" i="7"/>
  <c r="F426" i="7" s="1"/>
  <c r="B427" i="7"/>
  <c r="F427" i="7" s="1"/>
  <c r="B428" i="7"/>
  <c r="F428" i="7" s="1"/>
  <c r="B429" i="7"/>
  <c r="F429" i="7" s="1"/>
  <c r="B430" i="7"/>
  <c r="F430" i="7" s="1"/>
  <c r="B431" i="7"/>
  <c r="F431" i="7" s="1"/>
  <c r="B432" i="7"/>
  <c r="F432" i="7" s="1"/>
  <c r="B433" i="7"/>
  <c r="F433" i="7" s="1"/>
  <c r="B434" i="7"/>
  <c r="F434" i="7" s="1"/>
  <c r="B435" i="7"/>
  <c r="F435" i="7" s="1"/>
  <c r="B436" i="7"/>
  <c r="F436" i="7" s="1"/>
  <c r="B437" i="7"/>
  <c r="F437" i="7" s="1"/>
  <c r="B438" i="7"/>
  <c r="F438" i="7" s="1"/>
  <c r="B439" i="7"/>
  <c r="F439" i="7" s="1"/>
  <c r="B440" i="7"/>
  <c r="F440" i="7" s="1"/>
  <c r="B441" i="7"/>
  <c r="F441" i="7" s="1"/>
  <c r="B442" i="7"/>
  <c r="F442" i="7" s="1"/>
  <c r="B443" i="7"/>
  <c r="F443" i="7" s="1"/>
  <c r="B444" i="7"/>
  <c r="F444" i="7" s="1"/>
  <c r="B445" i="7"/>
  <c r="F445" i="7" s="1"/>
  <c r="B446" i="7"/>
  <c r="F446" i="7" s="1"/>
  <c r="B447" i="7"/>
  <c r="F447" i="7" s="1"/>
  <c r="B448" i="7"/>
  <c r="F448" i="7" s="1"/>
  <c r="B449" i="7"/>
  <c r="F449" i="7" s="1"/>
  <c r="B450" i="7"/>
  <c r="F450" i="7" s="1"/>
  <c r="B451" i="7"/>
  <c r="F451" i="7" s="1"/>
  <c r="B452" i="7"/>
  <c r="F452" i="7" s="1"/>
  <c r="B453" i="7"/>
  <c r="F453" i="7" s="1"/>
  <c r="B454" i="7"/>
  <c r="F454" i="7" s="1"/>
  <c r="B455" i="7"/>
  <c r="F455" i="7" s="1"/>
  <c r="B456" i="7"/>
  <c r="F456" i="7" s="1"/>
  <c r="B457" i="7"/>
  <c r="F457" i="7" s="1"/>
  <c r="B458" i="7"/>
  <c r="F458" i="7" s="1"/>
  <c r="B459" i="7"/>
  <c r="F459" i="7" s="1"/>
  <c r="B460" i="7"/>
  <c r="F460" i="7" s="1"/>
  <c r="B461" i="7"/>
  <c r="F461" i="7" s="1"/>
  <c r="B462" i="7"/>
  <c r="F462" i="7" s="1"/>
  <c r="B463" i="7"/>
  <c r="F463" i="7" s="1"/>
  <c r="B464" i="7"/>
  <c r="F464" i="7" s="1"/>
  <c r="B465" i="7"/>
  <c r="F465" i="7" s="1"/>
  <c r="B466" i="7"/>
  <c r="F466" i="7" s="1"/>
  <c r="B467" i="7"/>
  <c r="F467" i="7" s="1"/>
  <c r="B468" i="7"/>
  <c r="F468" i="7" s="1"/>
  <c r="B469" i="7"/>
  <c r="F469" i="7" s="1"/>
  <c r="B470" i="7"/>
  <c r="F470" i="7" s="1"/>
  <c r="B471" i="7"/>
  <c r="F471" i="7" s="1"/>
  <c r="B472" i="7"/>
  <c r="F472" i="7" s="1"/>
  <c r="B473" i="7"/>
  <c r="F473" i="7" s="1"/>
  <c r="B474" i="7"/>
  <c r="F474" i="7" s="1"/>
  <c r="B475" i="7"/>
  <c r="F475" i="7" s="1"/>
  <c r="B476" i="7"/>
  <c r="F476" i="7" s="1"/>
  <c r="B477" i="7"/>
  <c r="F477" i="7" s="1"/>
  <c r="B478" i="7"/>
  <c r="F478" i="7" s="1"/>
  <c r="B479" i="7"/>
  <c r="F479" i="7" s="1"/>
  <c r="B480" i="7"/>
  <c r="F480" i="7" s="1"/>
  <c r="B481" i="7"/>
  <c r="F481" i="7" s="1"/>
  <c r="B482" i="7"/>
  <c r="F482" i="7" s="1"/>
  <c r="B483" i="7"/>
  <c r="F483" i="7" s="1"/>
  <c r="B484" i="7"/>
  <c r="F484" i="7" s="1"/>
  <c r="B485" i="7"/>
  <c r="F485" i="7" s="1"/>
  <c r="B486" i="7"/>
  <c r="F486" i="7" s="1"/>
  <c r="B487" i="7"/>
  <c r="F487" i="7" s="1"/>
  <c r="B488" i="7"/>
  <c r="F488" i="7" s="1"/>
  <c r="B489" i="7"/>
  <c r="F489" i="7" s="1"/>
  <c r="B490" i="7"/>
  <c r="F490" i="7" s="1"/>
  <c r="B491" i="7"/>
  <c r="F491" i="7" s="1"/>
  <c r="B492" i="7"/>
  <c r="F492" i="7" s="1"/>
  <c r="B493" i="7"/>
  <c r="F493" i="7" s="1"/>
  <c r="B494" i="7"/>
  <c r="F494" i="7" s="1"/>
  <c r="B495" i="7"/>
  <c r="F495" i="7" s="1"/>
  <c r="B496" i="7"/>
  <c r="F496" i="7" s="1"/>
  <c r="B497" i="7"/>
  <c r="F497" i="7" s="1"/>
  <c r="B498" i="7"/>
  <c r="F498" i="7" s="1"/>
  <c r="B499" i="7"/>
  <c r="F499" i="7" s="1"/>
  <c r="B500" i="7"/>
  <c r="F500" i="7" s="1"/>
  <c r="B501" i="7"/>
  <c r="F501" i="7" s="1"/>
  <c r="B502" i="7"/>
  <c r="F502" i="7" s="1"/>
  <c r="B503" i="7"/>
  <c r="F503" i="7" s="1"/>
  <c r="B504" i="7"/>
  <c r="F504" i="7" s="1"/>
  <c r="B505" i="7"/>
  <c r="F505" i="7" s="1"/>
  <c r="B506" i="7"/>
  <c r="F506" i="7" s="1"/>
  <c r="B507" i="7"/>
  <c r="F507" i="7" s="1"/>
  <c r="B508" i="7"/>
  <c r="F508" i="7" s="1"/>
  <c r="B509" i="7"/>
  <c r="F509" i="7" s="1"/>
  <c r="B510" i="7"/>
  <c r="F510" i="7" s="1"/>
  <c r="B511" i="7"/>
  <c r="F511" i="7" s="1"/>
  <c r="B512" i="7"/>
  <c r="F512" i="7" s="1"/>
  <c r="B513" i="7"/>
  <c r="F513" i="7" s="1"/>
  <c r="B514" i="7"/>
  <c r="F514" i="7" s="1"/>
  <c r="B515" i="7"/>
  <c r="F515" i="7" s="1"/>
  <c r="B516" i="7"/>
  <c r="F516" i="7" s="1"/>
  <c r="B517" i="7"/>
  <c r="F517" i="7" s="1"/>
  <c r="B518" i="7"/>
  <c r="F518" i="7" s="1"/>
  <c r="B519" i="7"/>
  <c r="F519" i="7" s="1"/>
  <c r="B520" i="7"/>
  <c r="F520" i="7" s="1"/>
  <c r="B521" i="7"/>
  <c r="F521" i="7" s="1"/>
  <c r="B522" i="7"/>
  <c r="F522" i="7" s="1"/>
  <c r="B523" i="7"/>
  <c r="F523" i="7" s="1"/>
  <c r="B524" i="7"/>
  <c r="F524" i="7" s="1"/>
  <c r="B525" i="7"/>
  <c r="F525" i="7" s="1"/>
  <c r="B526" i="7"/>
  <c r="F526" i="7" s="1"/>
  <c r="B527" i="7"/>
  <c r="F527" i="7" s="1"/>
  <c r="B528" i="7"/>
  <c r="F528" i="7" s="1"/>
  <c r="B529" i="7"/>
  <c r="F529" i="7" s="1"/>
  <c r="B530" i="7"/>
  <c r="F530" i="7" s="1"/>
  <c r="B531" i="7"/>
  <c r="F531" i="7" s="1"/>
  <c r="B532" i="7"/>
  <c r="F532" i="7" s="1"/>
  <c r="B533" i="7"/>
  <c r="F533" i="7" s="1"/>
  <c r="B534" i="7"/>
  <c r="F534" i="7" s="1"/>
  <c r="B535" i="7"/>
  <c r="F535" i="7" s="1"/>
  <c r="B536" i="7"/>
  <c r="F536" i="7" s="1"/>
  <c r="B537" i="7"/>
  <c r="F537" i="7" s="1"/>
  <c r="B538" i="7"/>
  <c r="F538" i="7" s="1"/>
  <c r="B539" i="7"/>
  <c r="F539" i="7" s="1"/>
  <c r="B540" i="7"/>
  <c r="F540" i="7" s="1"/>
  <c r="B541" i="7"/>
  <c r="F541" i="7" s="1"/>
  <c r="B542" i="7"/>
  <c r="F542" i="7" s="1"/>
  <c r="B543" i="7"/>
  <c r="F543" i="7" s="1"/>
  <c r="B544" i="7"/>
  <c r="F544" i="7" s="1"/>
  <c r="B545" i="7"/>
  <c r="F545" i="7" s="1"/>
  <c r="B546" i="7"/>
  <c r="F546" i="7" s="1"/>
  <c r="B547" i="7"/>
  <c r="F547" i="7" s="1"/>
  <c r="B548" i="7"/>
  <c r="F548" i="7" s="1"/>
  <c r="B549" i="7"/>
  <c r="F549" i="7" s="1"/>
  <c r="B550" i="7"/>
  <c r="F550" i="7" s="1"/>
  <c r="B551" i="7"/>
  <c r="F551" i="7" s="1"/>
  <c r="B552" i="7"/>
  <c r="F552" i="7" s="1"/>
  <c r="B553" i="7"/>
  <c r="F553" i="7" s="1"/>
  <c r="B554" i="7"/>
  <c r="F554" i="7" s="1"/>
  <c r="B555" i="7"/>
  <c r="F555" i="7" s="1"/>
  <c r="B556" i="7"/>
  <c r="F556" i="7" s="1"/>
  <c r="B557" i="7"/>
  <c r="F557" i="7" s="1"/>
  <c r="B558" i="7"/>
  <c r="F558" i="7" s="1"/>
  <c r="B559" i="7"/>
  <c r="F559" i="7" s="1"/>
  <c r="B560" i="7"/>
  <c r="F560" i="7" s="1"/>
  <c r="B561" i="7"/>
  <c r="F561" i="7" s="1"/>
  <c r="B562" i="7"/>
  <c r="F562" i="7" s="1"/>
  <c r="B563" i="7"/>
  <c r="F563" i="7" s="1"/>
  <c r="B564" i="7"/>
  <c r="F564" i="7" s="1"/>
  <c r="B565" i="7"/>
  <c r="F565" i="7" s="1"/>
  <c r="B566" i="7"/>
  <c r="F566" i="7" s="1"/>
  <c r="B567" i="7"/>
  <c r="F567" i="7" s="1"/>
  <c r="B568" i="7"/>
  <c r="F568" i="7" s="1"/>
  <c r="B569" i="7"/>
  <c r="F569" i="7" s="1"/>
  <c r="B570" i="7"/>
  <c r="F570" i="7" s="1"/>
  <c r="B571" i="7"/>
  <c r="F571" i="7" s="1"/>
  <c r="B572" i="7"/>
  <c r="F572" i="7" s="1"/>
  <c r="B573" i="7"/>
  <c r="F573" i="7" s="1"/>
  <c r="B574" i="7"/>
  <c r="F574" i="7" s="1"/>
  <c r="B575" i="7"/>
  <c r="F575" i="7" s="1"/>
  <c r="B576" i="7"/>
  <c r="F576" i="7" s="1"/>
  <c r="B577" i="7"/>
  <c r="F577" i="7" s="1"/>
  <c r="B578" i="7"/>
  <c r="F578" i="7" s="1"/>
  <c r="B579" i="7"/>
  <c r="F579" i="7" s="1"/>
  <c r="B580" i="7"/>
  <c r="F580" i="7" s="1"/>
  <c r="B581" i="7"/>
  <c r="F581" i="7" s="1"/>
  <c r="B582" i="7"/>
  <c r="F582" i="7" s="1"/>
  <c r="B583" i="7"/>
  <c r="F583" i="7" s="1"/>
  <c r="B584" i="7"/>
  <c r="F584" i="7" s="1"/>
  <c r="B585" i="7"/>
  <c r="F585" i="7" s="1"/>
  <c r="B586" i="7"/>
  <c r="F586" i="7" s="1"/>
  <c r="B587" i="7"/>
  <c r="F587" i="7" s="1"/>
  <c r="B588" i="7"/>
  <c r="F588" i="7" s="1"/>
  <c r="B589" i="7"/>
  <c r="F589" i="7" s="1"/>
  <c r="B590" i="7"/>
  <c r="F590" i="7" s="1"/>
  <c r="B591" i="7"/>
  <c r="F591" i="7" s="1"/>
  <c r="B592" i="7"/>
  <c r="F592" i="7" s="1"/>
  <c r="B593" i="7"/>
  <c r="F593" i="7" s="1"/>
  <c r="B594" i="7"/>
  <c r="F594" i="7" s="1"/>
  <c r="B595" i="7"/>
  <c r="F595" i="7" s="1"/>
  <c r="B596" i="7"/>
  <c r="F596" i="7" s="1"/>
  <c r="B597" i="7"/>
  <c r="F597" i="7" s="1"/>
  <c r="B598" i="7"/>
  <c r="F598" i="7" s="1"/>
  <c r="B599" i="7"/>
  <c r="F599" i="7" s="1"/>
  <c r="B600" i="7"/>
  <c r="F600" i="7" s="1"/>
  <c r="B601" i="7"/>
  <c r="F601" i="7" s="1"/>
  <c r="B602" i="7"/>
  <c r="F602" i="7" s="1"/>
  <c r="B603" i="7"/>
  <c r="F603" i="7" s="1"/>
  <c r="B604" i="7"/>
  <c r="F604" i="7" s="1"/>
  <c r="B605" i="7"/>
  <c r="F605" i="7" s="1"/>
  <c r="B606" i="7"/>
  <c r="F606" i="7" s="1"/>
  <c r="B607" i="7"/>
  <c r="F607" i="7" s="1"/>
  <c r="B608" i="7"/>
  <c r="F608" i="7" s="1"/>
  <c r="B609" i="7"/>
  <c r="F609" i="7" s="1"/>
  <c r="B610" i="7"/>
  <c r="F610" i="7" s="1"/>
  <c r="B611" i="7"/>
  <c r="F611" i="7" s="1"/>
  <c r="B612" i="7"/>
  <c r="F612" i="7" s="1"/>
  <c r="B613" i="7"/>
  <c r="F613" i="7" s="1"/>
  <c r="B614" i="7"/>
  <c r="F614" i="7" s="1"/>
  <c r="B615" i="7"/>
  <c r="F615" i="7" s="1"/>
  <c r="B616" i="7"/>
  <c r="F616" i="7" s="1"/>
  <c r="B617" i="7"/>
  <c r="F617" i="7" s="1"/>
  <c r="B618" i="7"/>
  <c r="F618" i="7" s="1"/>
  <c r="B619" i="7"/>
  <c r="F619" i="7" s="1"/>
  <c r="B620" i="7"/>
  <c r="F620" i="7" s="1"/>
  <c r="B621" i="7"/>
  <c r="F621" i="7" s="1"/>
  <c r="B622" i="7"/>
  <c r="F622" i="7" s="1"/>
  <c r="B623" i="7"/>
  <c r="F623" i="7" s="1"/>
  <c r="B624" i="7"/>
  <c r="F624" i="7" s="1"/>
  <c r="B625" i="7"/>
  <c r="F625" i="7" s="1"/>
  <c r="B626" i="7"/>
  <c r="F626" i="7" s="1"/>
  <c r="B627" i="7"/>
  <c r="F627" i="7" s="1"/>
  <c r="B628" i="7"/>
  <c r="F628" i="7" s="1"/>
  <c r="B629" i="7"/>
  <c r="F629" i="7" s="1"/>
  <c r="B630" i="7"/>
  <c r="F630" i="7" s="1"/>
  <c r="B631" i="7"/>
  <c r="F631" i="7" s="1"/>
  <c r="B632" i="7"/>
  <c r="F632" i="7" s="1"/>
  <c r="B633" i="7"/>
  <c r="F633" i="7" s="1"/>
  <c r="B634" i="7"/>
  <c r="F634" i="7" s="1"/>
  <c r="B635" i="7"/>
  <c r="F635" i="7" s="1"/>
  <c r="B636" i="7"/>
  <c r="F636" i="7" s="1"/>
  <c r="B637" i="7"/>
  <c r="F637" i="7" s="1"/>
  <c r="B638" i="7"/>
  <c r="F638" i="7" s="1"/>
  <c r="B639" i="7"/>
  <c r="F639" i="7" s="1"/>
  <c r="B640" i="7"/>
  <c r="F640" i="7" s="1"/>
  <c r="B641" i="7"/>
  <c r="F641" i="7" s="1"/>
  <c r="B642" i="7"/>
  <c r="F642" i="7" s="1"/>
  <c r="B643" i="7"/>
  <c r="F643" i="7" s="1"/>
  <c r="B644" i="7"/>
  <c r="F644" i="7" s="1"/>
  <c r="B645" i="7"/>
  <c r="F645" i="7" s="1"/>
  <c r="B646" i="7"/>
  <c r="F646" i="7" s="1"/>
  <c r="B647" i="7"/>
  <c r="F647" i="7" s="1"/>
  <c r="B648" i="7"/>
  <c r="F648" i="7" s="1"/>
  <c r="B649" i="7"/>
  <c r="F649" i="7" s="1"/>
  <c r="B650" i="7"/>
  <c r="F650" i="7" s="1"/>
  <c r="B651" i="7"/>
  <c r="F651" i="7" s="1"/>
  <c r="B652" i="7"/>
  <c r="F652" i="7" s="1"/>
  <c r="B653" i="7"/>
  <c r="F653" i="7" s="1"/>
  <c r="B654" i="7"/>
  <c r="F654" i="7" s="1"/>
  <c r="B655" i="7"/>
  <c r="F655" i="7" s="1"/>
  <c r="B656" i="7"/>
  <c r="F656" i="7" s="1"/>
  <c r="B657" i="7"/>
  <c r="F657" i="7" s="1"/>
  <c r="B658" i="7"/>
  <c r="F658" i="7" s="1"/>
  <c r="B659" i="7"/>
  <c r="F659" i="7" s="1"/>
  <c r="B660" i="7"/>
  <c r="F660" i="7" s="1"/>
  <c r="B661" i="7"/>
  <c r="F661" i="7" s="1"/>
  <c r="B662" i="7"/>
  <c r="F662" i="7" s="1"/>
  <c r="B663" i="7"/>
  <c r="F663" i="7" s="1"/>
  <c r="B664" i="7"/>
  <c r="F664" i="7" s="1"/>
  <c r="B665" i="7"/>
  <c r="F665" i="7" s="1"/>
  <c r="B666" i="7"/>
  <c r="F666" i="7" s="1"/>
  <c r="B667" i="7"/>
  <c r="F667" i="7" s="1"/>
  <c r="B668" i="7"/>
  <c r="F668" i="7" s="1"/>
  <c r="B669" i="7"/>
  <c r="F669" i="7" s="1"/>
  <c r="B670" i="7"/>
  <c r="F670" i="7" s="1"/>
  <c r="B671" i="7"/>
  <c r="F671" i="7" s="1"/>
  <c r="B672" i="7"/>
  <c r="F672" i="7" s="1"/>
  <c r="B673" i="7"/>
  <c r="F673" i="7" s="1"/>
  <c r="B674" i="7"/>
  <c r="F674" i="7" s="1"/>
  <c r="B675" i="7"/>
  <c r="F675" i="7" s="1"/>
  <c r="B676" i="7"/>
  <c r="F676" i="7" s="1"/>
  <c r="B677" i="7"/>
  <c r="F677" i="7" s="1"/>
  <c r="B678" i="7"/>
  <c r="F678" i="7" s="1"/>
  <c r="B679" i="7"/>
  <c r="F679" i="7" s="1"/>
  <c r="B680" i="7"/>
  <c r="F680" i="7" s="1"/>
  <c r="B681" i="7"/>
  <c r="F681" i="7" s="1"/>
  <c r="B682" i="7"/>
  <c r="F682" i="7" s="1"/>
  <c r="B683" i="7"/>
  <c r="F683" i="7" s="1"/>
  <c r="B684" i="7"/>
  <c r="F684" i="7" s="1"/>
  <c r="B685" i="7"/>
  <c r="F685" i="7" s="1"/>
  <c r="B686" i="7"/>
  <c r="F686" i="7" s="1"/>
  <c r="B687" i="7"/>
  <c r="F687" i="7" s="1"/>
  <c r="B688" i="7"/>
  <c r="F688" i="7" s="1"/>
  <c r="B689" i="7"/>
  <c r="F689" i="7" s="1"/>
  <c r="B690" i="7"/>
  <c r="F690" i="7" s="1"/>
  <c r="B691" i="7"/>
  <c r="F691" i="7" s="1"/>
  <c r="B692" i="7"/>
  <c r="F692" i="7" s="1"/>
  <c r="B693" i="7"/>
  <c r="F693" i="7" s="1"/>
  <c r="B694" i="7"/>
  <c r="F694" i="7" s="1"/>
  <c r="B695" i="7"/>
  <c r="F695" i="7" s="1"/>
  <c r="B696" i="7"/>
  <c r="F696" i="7" s="1"/>
  <c r="B697" i="7"/>
  <c r="F697" i="7" s="1"/>
  <c r="B698" i="7"/>
  <c r="F698" i="7" s="1"/>
  <c r="B699" i="7"/>
  <c r="F699" i="7" s="1"/>
  <c r="B700" i="7"/>
  <c r="F700" i="7" s="1"/>
  <c r="B701" i="7"/>
  <c r="F701" i="7" s="1"/>
  <c r="B702" i="7"/>
  <c r="F702" i="7" s="1"/>
  <c r="B703" i="7"/>
  <c r="F703" i="7" s="1"/>
  <c r="B704" i="7"/>
  <c r="F704" i="7" s="1"/>
  <c r="B705" i="7"/>
  <c r="F705" i="7" s="1"/>
  <c r="B706" i="7"/>
  <c r="F706" i="7" s="1"/>
  <c r="B707" i="7"/>
  <c r="F707" i="7" s="1"/>
  <c r="B708" i="7"/>
  <c r="F708" i="7" s="1"/>
  <c r="B709" i="7"/>
  <c r="F709" i="7" s="1"/>
  <c r="B710" i="7"/>
  <c r="F710" i="7" s="1"/>
  <c r="B711" i="7"/>
  <c r="F711" i="7" s="1"/>
  <c r="B712" i="7"/>
  <c r="F712" i="7" s="1"/>
  <c r="B713" i="7"/>
  <c r="F713" i="7" s="1"/>
  <c r="B714" i="7"/>
  <c r="F714" i="7" s="1"/>
  <c r="B715" i="7"/>
  <c r="F715" i="7" s="1"/>
  <c r="B716" i="7"/>
  <c r="F716" i="7" s="1"/>
  <c r="B717" i="7"/>
  <c r="F717" i="7" s="1"/>
  <c r="B718" i="7"/>
  <c r="F718" i="7" s="1"/>
  <c r="B719" i="7"/>
  <c r="F719" i="7" s="1"/>
  <c r="B720" i="7"/>
  <c r="F720" i="7" s="1"/>
  <c r="B721" i="7"/>
  <c r="F721" i="7" s="1"/>
  <c r="B722" i="7"/>
  <c r="F722" i="7" s="1"/>
  <c r="B723" i="7"/>
  <c r="F723" i="7" s="1"/>
  <c r="B724" i="7"/>
  <c r="F724" i="7" s="1"/>
  <c r="B725" i="7"/>
  <c r="F725" i="7" s="1"/>
  <c r="B726" i="7"/>
  <c r="F726" i="7" s="1"/>
  <c r="B727" i="7"/>
  <c r="F727" i="7" s="1"/>
  <c r="B728" i="7"/>
  <c r="F728" i="7" s="1"/>
  <c r="B729" i="7"/>
  <c r="F729" i="7" s="1"/>
  <c r="B730" i="7"/>
  <c r="F730" i="7" s="1"/>
  <c r="B731" i="7"/>
  <c r="F731" i="7" s="1"/>
  <c r="B732" i="7"/>
  <c r="F732" i="7" s="1"/>
  <c r="B733" i="7"/>
  <c r="F733" i="7" s="1"/>
  <c r="B734" i="7"/>
  <c r="F734" i="7" s="1"/>
  <c r="B6" i="7"/>
  <c r="F6" i="7" s="1"/>
  <c r="B7" i="7"/>
  <c r="F7" i="7" s="1"/>
  <c r="B8" i="7"/>
  <c r="F8" i="7" s="1"/>
  <c r="B9" i="7"/>
  <c r="F9" i="7" s="1"/>
  <c r="B5" i="7"/>
  <c r="F5" i="7" s="1"/>
  <c r="B4" i="7"/>
  <c r="F4" i="7" s="1"/>
  <c r="F3" i="7" l="1"/>
  <c r="C4" i="4" l="1"/>
  <c r="C3" i="4"/>
  <c r="G3" i="2"/>
  <c r="J3" i="1" l="1"/>
</calcChain>
</file>

<file path=xl/sharedStrings.xml><?xml version="1.0" encoding="utf-8"?>
<sst xmlns="http://schemas.openxmlformats.org/spreadsheetml/2006/main" count="403" uniqueCount="210">
  <si>
    <t>MenuID</t>
  </si>
  <si>
    <t>ParentMenuID</t>
  </si>
  <si>
    <t>MenuName</t>
  </si>
  <si>
    <t>ControllerName</t>
  </si>
  <si>
    <t>Table Name</t>
  </si>
  <si>
    <t>Quản trị hệ thống</t>
  </si>
  <si>
    <t>IsVisible</t>
  </si>
  <si>
    <t>Nhóm người dùng</t>
  </si>
  <si>
    <t>Auth_Menu</t>
  </si>
  <si>
    <t>Người dùng</t>
  </si>
  <si>
    <t>MenuIndex</t>
  </si>
  <si>
    <t>Auth_Role</t>
  </si>
  <si>
    <t>RoleID</t>
  </si>
  <si>
    <t>RoleName</t>
  </si>
  <si>
    <t>Note</t>
  </si>
  <si>
    <t>IsActive</t>
  </si>
  <si>
    <t>UserID</t>
  </si>
  <si>
    <t>FullName</t>
  </si>
  <si>
    <t>DisplayName</t>
  </si>
  <si>
    <t>Phone</t>
  </si>
  <si>
    <t>Email</t>
  </si>
  <si>
    <t>administrator</t>
  </si>
  <si>
    <t>Auth_UserInRole</t>
  </si>
  <si>
    <t>Auth_Action</t>
  </si>
  <si>
    <t>IsAllowed</t>
  </si>
  <si>
    <t>Auth_User</t>
  </si>
  <si>
    <t>Master_Calendar</t>
  </si>
  <si>
    <t>Date</t>
  </si>
  <si>
    <t>Week</t>
  </si>
  <si>
    <t>Month</t>
  </si>
  <si>
    <t>Year</t>
  </si>
  <si>
    <t>Holiday</t>
  </si>
  <si>
    <t>Password</t>
  </si>
  <si>
    <t>e10adc3949ba59abbe56e057f20f883e</t>
  </si>
  <si>
    <t>Home</t>
  </si>
  <si>
    <t>Trang chủ</t>
  </si>
  <si>
    <t>Action</t>
  </si>
  <si>
    <t>Title</t>
  </si>
  <si>
    <t>Master_Territory</t>
  </si>
  <si>
    <t>Icon</t>
  </si>
  <si>
    <t>fa-home</t>
  </si>
  <si>
    <t>DistributorID</t>
  </si>
  <si>
    <t>ProvinceID</t>
  </si>
  <si>
    <t>DistrictID</t>
  </si>
  <si>
    <t>WardID</t>
  </si>
  <si>
    <t>Street</t>
  </si>
  <si>
    <t>ContactName</t>
  </si>
  <si>
    <t>Table</t>
  </si>
  <si>
    <t>Sheet</t>
  </si>
  <si>
    <t>back to list</t>
  </si>
  <si>
    <t>Master_Distributor_Warehouse</t>
  </si>
  <si>
    <t>WarehouseID</t>
  </si>
  <si>
    <t>WarehouseName</t>
  </si>
  <si>
    <t>Warehouse 001</t>
  </si>
  <si>
    <t>PV_0001</t>
  </si>
  <si>
    <t>PV_0050</t>
  </si>
  <si>
    <t>DT_0001</t>
  </si>
  <si>
    <t>DT_0002</t>
  </si>
  <si>
    <t>DT_0003</t>
  </si>
  <si>
    <t>DT_0004</t>
  </si>
  <si>
    <t>DT_0005</t>
  </si>
  <si>
    <t>DT_0006</t>
  </si>
  <si>
    <t>DT_0007</t>
  </si>
  <si>
    <t>DT_0008</t>
  </si>
  <si>
    <t>DT_0009</t>
  </si>
  <si>
    <t>DT_0010</t>
  </si>
  <si>
    <t>DT_0011</t>
  </si>
  <si>
    <t>DT_0012</t>
  </si>
  <si>
    <t>DT_0013</t>
  </si>
  <si>
    <t>DT_0014</t>
  </si>
  <si>
    <t>DT_0015</t>
  </si>
  <si>
    <t>DT_0016</t>
  </si>
  <si>
    <t>DT_0017</t>
  </si>
  <si>
    <t>DT_0018</t>
  </si>
  <si>
    <t>DT_0019</t>
  </si>
  <si>
    <t>DT_0020</t>
  </si>
  <si>
    <t>DT_0544</t>
  </si>
  <si>
    <t>DT_0545</t>
  </si>
  <si>
    <t>DT_0546</t>
  </si>
  <si>
    <t>DT_0547</t>
  </si>
  <si>
    <t>DT_0548</t>
  </si>
  <si>
    <t>WH_001</t>
  </si>
  <si>
    <t>HTMLContent</t>
  </si>
  <si>
    <t>TextContent</t>
  </si>
  <si>
    <t>Announcement 001</t>
  </si>
  <si>
    <t>Announcement 002</t>
  </si>
  <si>
    <t>Announcement 003</t>
  </si>
  <si>
    <t>Announcement 004</t>
  </si>
  <si>
    <t>Announcement 005</t>
  </si>
  <si>
    <t>Description</t>
  </si>
  <si>
    <t>RowCreatedAt</t>
  </si>
  <si>
    <t>RowCreatedBy</t>
  </si>
  <si>
    <t>system</t>
  </si>
  <si>
    <t>Config_Parameter</t>
  </si>
  <si>
    <t>ParamID</t>
  </si>
  <si>
    <t>ParamValue</t>
  </si>
  <si>
    <t>ParamGroup</t>
  </si>
  <si>
    <t>PO_VAT</t>
  </si>
  <si>
    <t>Thuế suất GTGT đơn hàng mua</t>
  </si>
  <si>
    <t>Procurement</t>
  </si>
  <si>
    <t>Phân cấp vùng miền</t>
  </si>
  <si>
    <t>Admin</t>
  </si>
  <si>
    <t>Master_Announcement</t>
  </si>
  <si>
    <t>Master_Holiday</t>
  </si>
  <si>
    <t>ID</t>
  </si>
  <si>
    <t>Utilities_Announcement</t>
  </si>
  <si>
    <t>Utilities_Holiday</t>
  </si>
  <si>
    <t>Utilities_Territory</t>
  </si>
  <si>
    <t xml:space="preserve">INSERT INTO Auth_Action(RoleID, MenuID, [Action], IsAllowed, Note, RowCreatedAt, RowCreatedBy)
 SELECT 1
   ,a.MenuID
   ,b.[Action]
   ,1 AS 'IsAllowed'
   ,'' AS 'Note'
   ,GETDATE()
   ,'system'
 FROM Auth_Menu a CROSS JOIN (
          SELECT 'View' AS 'Action'  UNION
          SELECT 'Insert' AS 'Action' UNION
          SELECT 'Update' AS 'Action' UNION
          SELECT 'Delete' AS 'Action' UNION
          SELECT 'Export' AS 'Action' UNION
          SELECT 'Import' AS 'Action'
         ) b
</t>
  </si>
  <si>
    <t>Administrator</t>
  </si>
  <si>
    <t>Cấu hình gửi mail</t>
  </si>
  <si>
    <t>Cấu hình tham số</t>
  </si>
  <si>
    <t>Master_Email</t>
  </si>
  <si>
    <t>Utilities_Email</t>
  </si>
  <si>
    <t>Utilities_Parameters</t>
  </si>
  <si>
    <t>Master_Parameters</t>
  </si>
  <si>
    <t>Quản lý hệ thống</t>
  </si>
  <si>
    <t>Lịch làm việc</t>
  </si>
  <si>
    <t>Công ty</t>
  </si>
  <si>
    <t>Company</t>
  </si>
  <si>
    <t>Employee</t>
  </si>
  <si>
    <t>Nhân viên</t>
  </si>
  <si>
    <t>WareHouse</t>
  </si>
  <si>
    <t>Kho/bãi xe</t>
  </si>
  <si>
    <t>Xe vận tải</t>
  </si>
  <si>
    <t>Khách hàng</t>
  </si>
  <si>
    <t>Customer</t>
  </si>
  <si>
    <t>Region</t>
  </si>
  <si>
    <t>Vùng miền</t>
  </si>
  <si>
    <t>Management</t>
  </si>
  <si>
    <t>Contract</t>
  </si>
  <si>
    <t>Đại lý</t>
  </si>
  <si>
    <t>DaiLy</t>
  </si>
  <si>
    <t>HangSXXe</t>
  </si>
  <si>
    <t>LoaiXe</t>
  </si>
  <si>
    <t>DuyNH</t>
  </si>
  <si>
    <t>ThaiNV</t>
  </si>
  <si>
    <t>BaoHV: 50%</t>
  </si>
  <si>
    <t>Vung</t>
  </si>
  <si>
    <t>CompanyID</t>
  </si>
  <si>
    <t>BrandID</t>
  </si>
  <si>
    <t>CompanyInfo</t>
  </si>
  <si>
    <t>CustomerInfo</t>
  </si>
  <si>
    <t>CreateOrderDetail</t>
  </si>
  <si>
    <t>ViewContract</t>
  </si>
  <si>
    <t>OrderDetail</t>
  </si>
  <si>
    <t>XeVanTai</t>
  </si>
  <si>
    <t>Theo dõi vị trí xe vận tải</t>
  </si>
  <si>
    <t>ViTriXeVanTai</t>
  </si>
  <si>
    <t>ManageRegion</t>
  </si>
  <si>
    <t>Quản lý vận tải</t>
  </si>
  <si>
    <t>Tạo yêu cầu vận tải</t>
  </si>
  <si>
    <t>Danh sách yêu cầu vận tải</t>
  </si>
  <si>
    <t>Lệnh điều xe</t>
  </si>
  <si>
    <t>Danh sách lệnh điều xe</t>
  </si>
  <si>
    <t>Loại Xe</t>
  </si>
  <si>
    <t>GeneralNotification</t>
  </si>
  <si>
    <t>Bản tin</t>
  </si>
  <si>
    <t>Tin nội bộ</t>
  </si>
  <si>
    <t>Thông báo</t>
  </si>
  <si>
    <t>2.3.1</t>
  </si>
  <si>
    <t>2.3.2</t>
  </si>
  <si>
    <t>StockIn</t>
  </si>
  <si>
    <t>StockOut</t>
  </si>
  <si>
    <t>Quản lý kho</t>
  </si>
  <si>
    <t>Nhập kho</t>
  </si>
  <si>
    <t>Xuất kho</t>
  </si>
  <si>
    <t>Thẻ kho chi tiết</t>
  </si>
  <si>
    <t>Lịch sử vận tải</t>
  </si>
  <si>
    <t>XeVanTaiHistory</t>
  </si>
  <si>
    <t>StockCardDetail</t>
  </si>
  <si>
    <t>Cấu hình thời gian giao xe</t>
  </si>
  <si>
    <t>DeliveryConfigTime</t>
  </si>
  <si>
    <t>Announcement</t>
  </si>
  <si>
    <t>StockManagement</t>
  </si>
  <si>
    <t>Dữ liệu hãng xe</t>
  </si>
  <si>
    <t>Hãng xe</t>
  </si>
  <si>
    <t>Cập nhật trạng thái lệnh điều xe</t>
  </si>
  <si>
    <t>CapNhatTTCTLDX</t>
  </si>
  <si>
    <t>Quản lý hồ sơ</t>
  </si>
  <si>
    <t>DocumentManagement</t>
  </si>
  <si>
    <t>CategoryConfig</t>
  </si>
  <si>
    <t>Document</t>
  </si>
  <si>
    <t>Search</t>
  </si>
  <si>
    <t>SearchLightHead</t>
  </si>
  <si>
    <t>Trụ đèn</t>
  </si>
  <si>
    <t>Sideboard</t>
  </si>
  <si>
    <t>Danh mục các tủ</t>
  </si>
  <si>
    <t>Phân loại văn bản</t>
  </si>
  <si>
    <t>Lưu trữ văn bản</t>
  </si>
  <si>
    <t>Tra cứu sản phẩm</t>
  </si>
  <si>
    <t>ProductManagement</t>
  </si>
  <si>
    <t>Quản lý sản phẩm</t>
  </si>
  <si>
    <t>LightHeadOne</t>
  </si>
  <si>
    <t>LightHeadTwo</t>
  </si>
  <si>
    <t>Trụ đèn - Danh mục nhóm 2</t>
  </si>
  <si>
    <t>FoundationBoltOne</t>
  </si>
  <si>
    <t>Bu-long móng</t>
  </si>
  <si>
    <t>FoundationBoltTwo</t>
  </si>
  <si>
    <t>Bu-long móng - Danh mục nhóm 2</t>
  </si>
  <si>
    <t>RodOne</t>
  </si>
  <si>
    <t>Cần đèn</t>
  </si>
  <si>
    <t>RodTwo</t>
  </si>
  <si>
    <t>Cần đèn - Danh mục nhóm 2</t>
  </si>
  <si>
    <t>RequestProduct</t>
  </si>
  <si>
    <t>Yêu cầu thêm mới</t>
  </si>
  <si>
    <t>SearchFoundationBolt</t>
  </si>
  <si>
    <t>SearchRod</t>
  </si>
  <si>
    <t>Danh mục nhóm văn bản</t>
  </si>
  <si>
    <t>GroupDocument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</si>
</sst>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color theme="1"/>
      <name val="Tahoma"/>
      <family val="2"/>
    </font>
    <font>
      <sz val="10"/>
      <color rgb="FF006100"/>
      <name val="Tahoma"/>
      <family val="2"/>
    </font>
    <font>
      <sz val="10"/>
      <color rgb="FF9C0006"/>
      <name val="Tahoma"/>
      <family val="2"/>
    </font>
    <font>
      <b/>
      <sz val="10"/>
      <color theme="1"/>
      <name val="Tahoma"/>
      <family val="2"/>
    </font>
    <font>
      <sz val="10"/>
      <color theme="0"/>
      <name val="Tahoma"/>
      <family val="2"/>
    </font>
    <font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0" xfId="1"/>
    <xf numFmtId="0" fontId="2" fillId="3" borderId="0" xfId="2"/>
    <xf numFmtId="0" fontId="3" fillId="0" borderId="0" xfId="0" applyFont="1"/>
    <xf numFmtId="0" fontId="4" fillId="4" borderId="0" xfId="3" applyFont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/>
    <xf numFmtId="0" fontId="0" fillId="0" borderId="0" xfId="0" applyNumberFormat="1"/>
    <xf numFmtId="0" fontId="3" fillId="5" borderId="0" xfId="0" applyFont="1" applyFill="1" applyAlignment="1">
      <alignment horizontal="center" vertical="center"/>
    </xf>
    <xf numFmtId="0" fontId="5" fillId="0" borderId="0" xfId="4"/>
    <xf numFmtId="0" fontId="5" fillId="6" borderId="0" xfId="4" applyFill="1"/>
    <xf numFmtId="0" fontId="0" fillId="0" borderId="0" xfId="0" applyAlignment="1">
      <alignment horizontal="right"/>
    </xf>
    <xf numFmtId="0" fontId="0" fillId="0" borderId="0" xfId="0" applyAlignment="1">
      <alignment horizontal="left" indent="3"/>
    </xf>
    <xf numFmtId="0" fontId="2" fillId="3" borderId="0" xfId="2" applyAlignment="1">
      <alignment wrapText="1"/>
    </xf>
    <xf numFmtId="0" fontId="3" fillId="0" borderId="0" xfId="0" applyFont="1" applyAlignment="1">
      <alignment horizontal="left" indent="1"/>
    </xf>
    <xf numFmtId="0" fontId="0" fillId="0" borderId="0" xfId="0" applyFont="1" applyAlignment="1">
      <alignment horizontal="left" indent="1"/>
    </xf>
    <xf numFmtId="0" fontId="0" fillId="7" borderId="0" xfId="0" applyFill="1" applyAlignment="1">
      <alignment horizontal="left" indent="3"/>
    </xf>
    <xf numFmtId="0" fontId="0" fillId="7" borderId="0" xfId="0" applyFill="1" applyAlignment="1">
      <alignment horizontal="left" indent="1"/>
    </xf>
    <xf numFmtId="0" fontId="0" fillId="7" borderId="0" xfId="0" applyFill="1" applyAlignment="1">
      <alignment horizontal="right"/>
    </xf>
    <xf numFmtId="0" fontId="0" fillId="7" borderId="0" xfId="0" applyFill="1"/>
    <xf numFmtId="9" fontId="0" fillId="0" borderId="0" xfId="0" applyNumberFormat="1"/>
    <xf numFmtId="0" fontId="0" fillId="7" borderId="0" xfId="0" applyFill="1" applyAlignment="1"/>
    <xf numFmtId="0" fontId="0" fillId="0" borderId="0" xfId="0" applyAlignment="1"/>
    <xf numFmtId="0" fontId="0" fillId="0" borderId="0" xfId="0" applyAlignment="1">
      <alignment horizontal="left"/>
    </xf>
  </cellXfs>
  <cellStyles count="5">
    <cellStyle name="Accent1" xfId="3" builtinId="29"/>
    <cellStyle name="Bad" xfId="2" builtinId="27"/>
    <cellStyle name="Good" xfId="1" builtinId="26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64"/>
  <sheetViews>
    <sheetView showGridLines="0" workbookViewId="0"/>
  </sheetViews>
  <sheetFormatPr defaultRowHeight="13.2" x14ac:dyDescent="0.25"/>
  <cols>
    <col min="1" max="1" width="27" bestFit="1" customWidth="1"/>
    <col min="2" max="2" width="9.44140625" bestFit="1" customWidth="1"/>
  </cols>
  <sheetData>
    <row r="1" spans="1:2" x14ac:dyDescent="0.25">
      <c r="A1" s="9" t="s">
        <v>47</v>
      </c>
      <c r="B1" s="9" t="s">
        <v>48</v>
      </c>
    </row>
    <row r="2" spans="1:2" x14ac:dyDescent="0.25">
      <c r="A2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/>
      </c>
      <c r="B2" s="10" t="str">
        <f t="shared" ref="B2:B64" ca="1" si="0">HYPERLINK("#'" &amp; A2 &amp; "'!A1", "GotoSheet")</f>
        <v>GotoSheet</v>
      </c>
    </row>
    <row r="3" spans="1:2" x14ac:dyDescent="0.25">
      <c r="A3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/>
      </c>
      <c r="B3" s="10" t="str">
        <f t="shared" ca="1" si="0"/>
        <v>GotoSheet</v>
      </c>
    </row>
    <row r="4" spans="1:2" x14ac:dyDescent="0.25">
      <c r="A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/>
      </c>
      <c r="B4" s="10" t="str">
        <f t="shared" ca="1" si="0"/>
        <v>GotoSheet</v>
      </c>
    </row>
    <row r="5" spans="1:2" x14ac:dyDescent="0.25">
      <c r="A5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/>
      </c>
      <c r="B5" s="10" t="str">
        <f t="shared" ca="1" si="0"/>
        <v>GotoSheet</v>
      </c>
    </row>
    <row r="6" spans="1:2" x14ac:dyDescent="0.25">
      <c r="A6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/>
      </c>
      <c r="B6" s="10" t="str">
        <f t="shared" ca="1" si="0"/>
        <v>GotoSheet</v>
      </c>
    </row>
    <row r="7" spans="1:2" x14ac:dyDescent="0.25">
      <c r="A7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/>
      </c>
      <c r="B7" s="10" t="str">
        <f t="shared" ca="1" si="0"/>
        <v>GotoSheet</v>
      </c>
    </row>
    <row r="8" spans="1:2" x14ac:dyDescent="0.25">
      <c r="A8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/>
      </c>
      <c r="B8" s="10" t="str">
        <f t="shared" ca="1" si="0"/>
        <v>GotoSheet</v>
      </c>
    </row>
    <row r="9" spans="1:2" x14ac:dyDescent="0.25">
      <c r="A9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/>
      </c>
      <c r="B9" s="10" t="str">
        <f t="shared" ca="1" si="0"/>
        <v>GotoSheet</v>
      </c>
    </row>
    <row r="10" spans="1:2" x14ac:dyDescent="0.25">
      <c r="A10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/>
      </c>
      <c r="B10" s="10" t="str">
        <f t="shared" ca="1" si="0"/>
        <v>GotoSheet</v>
      </c>
    </row>
    <row r="11" spans="1:2" x14ac:dyDescent="0.25">
      <c r="A11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/>
      </c>
      <c r="B11" s="10" t="str">
        <f t="shared" ca="1" si="0"/>
        <v>GotoSheet</v>
      </c>
    </row>
    <row r="12" spans="1:2" x14ac:dyDescent="0.25">
      <c r="A12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/>
      </c>
      <c r="B12" s="10" t="str">
        <f t="shared" ca="1" si="0"/>
        <v>GotoSheet</v>
      </c>
    </row>
    <row r="13" spans="1:2" x14ac:dyDescent="0.25">
      <c r="A13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  <c r="B13" s="10" t="str">
        <f t="shared" ca="1" si="0"/>
        <v>GotoSheet</v>
      </c>
    </row>
    <row r="14" spans="1:2" x14ac:dyDescent="0.25">
      <c r="A1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10" t="str">
        <f t="shared" ca="1" si="0"/>
        <v>GotoSheet</v>
      </c>
    </row>
    <row r="15" spans="1:2" x14ac:dyDescent="0.25">
      <c r="A15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10" t="str">
        <f t="shared" ca="1" si="0"/>
        <v>GotoSheet</v>
      </c>
    </row>
    <row r="16" spans="1:2" x14ac:dyDescent="0.25">
      <c r="A16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10" t="str">
        <f t="shared" ca="1" si="0"/>
        <v>GotoSheet</v>
      </c>
    </row>
    <row r="17" spans="1:2" x14ac:dyDescent="0.25">
      <c r="A17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10" t="str">
        <f t="shared" ca="1" si="0"/>
        <v>GotoSheet</v>
      </c>
    </row>
    <row r="18" spans="1:2" x14ac:dyDescent="0.25">
      <c r="A18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10" t="str">
        <f t="shared" ca="1" si="0"/>
        <v>GotoSheet</v>
      </c>
    </row>
    <row r="19" spans="1:2" x14ac:dyDescent="0.25">
      <c r="A19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10" t="str">
        <f t="shared" ca="1" si="0"/>
        <v>GotoSheet</v>
      </c>
    </row>
    <row r="20" spans="1:2" x14ac:dyDescent="0.25">
      <c r="A20" t="str">
        <f t="array" aca="1" ref="A20" ca="1">IFERROR(INDEX(MID(Sheets,FIND("]",Sheets)+1,255),SMALL(IF(MID(Sheets,FIND("]",Sheets)+1,255)&lt;&gt;MID(CELL("filename",A19),FIND("]",CELL("filename",A19))+1,255),ROW(INDIRECT("$A$1:$A$"&amp;COUNTA(MID(Sheets,FIND("]",Sheets)+1,255))))),ROW(19:19)),1),"")</f>
        <v/>
      </c>
      <c r="B20" s="10" t="str">
        <f t="shared" ca="1" si="0"/>
        <v>GotoSheet</v>
      </c>
    </row>
    <row r="21" spans="1:2" x14ac:dyDescent="0.25">
      <c r="A21" t="str">
        <f t="array" aca="1" ref="A21" ca="1">IFERROR(INDEX(MID(Sheets,FIND("]",Sheets)+1,255),SMALL(IF(MID(Sheets,FIND("]",Sheets)+1,255)&lt;&gt;MID(CELL("filename",A20),FIND("]",CELL("filename",A20))+1,255),ROW(INDIRECT("$A$1:$A$"&amp;COUNTA(MID(Sheets,FIND("]",Sheets)+1,255))))),ROW(20:20)),1),"")</f>
        <v/>
      </c>
      <c r="B21" s="10" t="str">
        <f t="shared" ca="1" si="0"/>
        <v>GotoSheet</v>
      </c>
    </row>
    <row r="22" spans="1:2" x14ac:dyDescent="0.25">
      <c r="A22" t="str">
        <f t="array" aca="1" ref="A22" ca="1">IFERROR(INDEX(MID(Sheets,FIND("]",Sheets)+1,255),SMALL(IF(MID(Sheets,FIND("]",Sheets)+1,255)&lt;&gt;MID(CELL("filename",A21),FIND("]",CELL("filename",A21))+1,255),ROW(INDIRECT("$A$1:$A$"&amp;COUNTA(MID(Sheets,FIND("]",Sheets)+1,255))))),ROW(21:21)),1),"")</f>
        <v/>
      </c>
      <c r="B22" s="10" t="str">
        <f t="shared" ca="1" si="0"/>
        <v>GotoSheet</v>
      </c>
    </row>
    <row r="23" spans="1:2" x14ac:dyDescent="0.25">
      <c r="A23" t="str">
        <f t="array" aca="1" ref="A23" ca="1">IFERROR(INDEX(MID(Sheets,FIND("]",Sheets)+1,255),SMALL(IF(MID(Sheets,FIND("]",Sheets)+1,255)&lt;&gt;MID(CELL("filename",A22),FIND("]",CELL("filename",A22))+1,255),ROW(INDIRECT("$A$1:$A$"&amp;COUNTA(MID(Sheets,FIND("]",Sheets)+1,255))))),ROW(22:22)),1),"")</f>
        <v/>
      </c>
      <c r="B23" s="10" t="str">
        <f t="shared" ca="1" si="0"/>
        <v>GotoSheet</v>
      </c>
    </row>
    <row r="24" spans="1:2" x14ac:dyDescent="0.25">
      <c r="A24" t="str">
        <f t="array" aca="1" ref="A24" ca="1">IFERROR(INDEX(MID(Sheets,FIND("]",Sheets)+1,255),SMALL(IF(MID(Sheets,FIND("]",Sheets)+1,255)&lt;&gt;MID(CELL("filename",A23),FIND("]",CELL("filename",A23))+1,255),ROW(INDIRECT("$A$1:$A$"&amp;COUNTA(MID(Sheets,FIND("]",Sheets)+1,255))))),ROW(23:23)),1),"")</f>
        <v/>
      </c>
      <c r="B24" s="10" t="str">
        <f t="shared" ca="1" si="0"/>
        <v>GotoSheet</v>
      </c>
    </row>
    <row r="25" spans="1:2" x14ac:dyDescent="0.25">
      <c r="A25" t="str">
        <f t="array" aca="1" ref="A25" ca="1">IFERROR(INDEX(MID(Sheets,FIND("]",Sheets)+1,255),SMALL(IF(MID(Sheets,FIND("]",Sheets)+1,255)&lt;&gt;MID(CELL("filename",A24),FIND("]",CELL("filename",A24))+1,255),ROW(INDIRECT("$A$1:$A$"&amp;COUNTA(MID(Sheets,FIND("]",Sheets)+1,255))))),ROW(24:24)),1),"")</f>
        <v/>
      </c>
      <c r="B25" s="10" t="str">
        <f t="shared" ca="1" si="0"/>
        <v>GotoSheet</v>
      </c>
    </row>
    <row r="26" spans="1:2" x14ac:dyDescent="0.25">
      <c r="A26" t="str">
        <f t="array" aca="1" ref="A26" ca="1">IFERROR(INDEX(MID(Sheets,FIND("]",Sheets)+1,255),SMALL(IF(MID(Sheets,FIND("]",Sheets)+1,255)&lt;&gt;MID(CELL("filename",A25),FIND("]",CELL("filename",A25))+1,255),ROW(INDIRECT("$A$1:$A$"&amp;COUNTA(MID(Sheets,FIND("]",Sheets)+1,255))))),ROW(25:25)),1),"")</f>
        <v/>
      </c>
      <c r="B26" s="10" t="str">
        <f t="shared" ca="1" si="0"/>
        <v>GotoSheet</v>
      </c>
    </row>
    <row r="27" spans="1:2" x14ac:dyDescent="0.25">
      <c r="A27" t="str">
        <f t="array" aca="1" ref="A27" ca="1">IFERROR(INDEX(MID(Sheets,FIND("]",Sheets)+1,255),SMALL(IF(MID(Sheets,FIND("]",Sheets)+1,255)&lt;&gt;MID(CELL("filename",A26),FIND("]",CELL("filename",A26))+1,255),ROW(INDIRECT("$A$1:$A$"&amp;COUNTA(MID(Sheets,FIND("]",Sheets)+1,255))))),ROW(26:26)),1),"")</f>
        <v/>
      </c>
      <c r="B27" s="10" t="str">
        <f t="shared" ca="1" si="0"/>
        <v>GotoSheet</v>
      </c>
    </row>
    <row r="28" spans="1:2" x14ac:dyDescent="0.25">
      <c r="A28" t="str">
        <f t="array" aca="1" ref="A28" ca="1">IFERROR(INDEX(MID(Sheets,FIND("]",Sheets)+1,255),SMALL(IF(MID(Sheets,FIND("]",Sheets)+1,255)&lt;&gt;MID(CELL("filename",A27),FIND("]",CELL("filename",A27))+1,255),ROW(INDIRECT("$A$1:$A$"&amp;COUNTA(MID(Sheets,FIND("]",Sheets)+1,255))))),ROW(27:27)),1),"")</f>
        <v/>
      </c>
      <c r="B28" s="10" t="str">
        <f t="shared" ca="1" si="0"/>
        <v>GotoSheet</v>
      </c>
    </row>
    <row r="29" spans="1:2" x14ac:dyDescent="0.25">
      <c r="A29" t="str">
        <f t="array" aca="1" ref="A29" ca="1">IFERROR(INDEX(MID(Sheets,FIND("]",Sheets)+1,255),SMALL(IF(MID(Sheets,FIND("]",Sheets)+1,255)&lt;&gt;MID(CELL("filename",A28),FIND("]",CELL("filename",A28))+1,255),ROW(INDIRECT("$A$1:$A$"&amp;COUNTA(MID(Sheets,FIND("]",Sheets)+1,255))))),ROW(28:28)),1),"")</f>
        <v/>
      </c>
      <c r="B29" s="10" t="str">
        <f t="shared" ca="1" si="0"/>
        <v>GotoSheet</v>
      </c>
    </row>
    <row r="30" spans="1:2" x14ac:dyDescent="0.25">
      <c r="A30" t="str">
        <f t="array" aca="1" ref="A30" ca="1">IFERROR(INDEX(MID(Sheets,FIND("]",Sheets)+1,255),SMALL(IF(MID(Sheets,FIND("]",Sheets)+1,255)&lt;&gt;MID(CELL("filename",A29),FIND("]",CELL("filename",A29))+1,255),ROW(INDIRECT("$A$1:$A$"&amp;COUNTA(MID(Sheets,FIND("]",Sheets)+1,255))))),ROW(29:29)),1),"")</f>
        <v/>
      </c>
      <c r="B30" s="10" t="str">
        <f t="shared" ca="1" si="0"/>
        <v>GotoSheet</v>
      </c>
    </row>
    <row r="31" spans="1:2" x14ac:dyDescent="0.25">
      <c r="A31" t="str">
        <f t="array" aca="1" ref="A31" ca="1">IFERROR(INDEX(MID(Sheets,FIND("]",Sheets)+1,255),SMALL(IF(MID(Sheets,FIND("]",Sheets)+1,255)&lt;&gt;MID(CELL("filename",A30),FIND("]",CELL("filename",A30))+1,255),ROW(INDIRECT("$A$1:$A$"&amp;COUNTA(MID(Sheets,FIND("]",Sheets)+1,255))))),ROW(30:30)),1),"")</f>
        <v/>
      </c>
      <c r="B31" s="10" t="str">
        <f t="shared" ca="1" si="0"/>
        <v>GotoSheet</v>
      </c>
    </row>
    <row r="32" spans="1:2" x14ac:dyDescent="0.25">
      <c r="A32" t="str">
        <f t="array" aca="1" ref="A32" ca="1">IFERROR(INDEX(MID(Sheets,FIND("]",Sheets)+1,255),SMALL(IF(MID(Sheets,FIND("]",Sheets)+1,255)&lt;&gt;MID(CELL("filename",A31),FIND("]",CELL("filename",A31))+1,255),ROW(INDIRECT("$A$1:$A$"&amp;COUNTA(MID(Sheets,FIND("]",Sheets)+1,255))))),ROW(31:31)),1),"")</f>
        <v/>
      </c>
      <c r="B32" s="10" t="str">
        <f t="shared" ca="1" si="0"/>
        <v>GotoSheet</v>
      </c>
    </row>
    <row r="33" spans="1:2" x14ac:dyDescent="0.25">
      <c r="A33" t="str">
        <f t="array" aca="1" ref="A33" ca="1">IFERROR(INDEX(MID(Sheets,FIND("]",Sheets)+1,255),SMALL(IF(MID(Sheets,FIND("]",Sheets)+1,255)&lt;&gt;MID(CELL("filename",A32),FIND("]",CELL("filename",A32))+1,255),ROW(INDIRECT("$A$1:$A$"&amp;COUNTA(MID(Sheets,FIND("]",Sheets)+1,255))))),ROW(32:32)),1),"")</f>
        <v/>
      </c>
      <c r="B33" s="10" t="str">
        <f t="shared" ca="1" si="0"/>
        <v>GotoSheet</v>
      </c>
    </row>
    <row r="34" spans="1:2" x14ac:dyDescent="0.25">
      <c r="A34" t="str">
        <f t="array" aca="1" ref="A34" ca="1">IFERROR(INDEX(MID(Sheets,FIND("]",Sheets)+1,255),SMALL(IF(MID(Sheets,FIND("]",Sheets)+1,255)&lt;&gt;MID(CELL("filename",A33),FIND("]",CELL("filename",A33))+1,255),ROW(INDIRECT("$A$1:$A$"&amp;COUNTA(MID(Sheets,FIND("]",Sheets)+1,255))))),ROW(33:33)),1),"")</f>
        <v/>
      </c>
      <c r="B34" s="10" t="str">
        <f t="shared" ca="1" si="0"/>
        <v>GotoSheet</v>
      </c>
    </row>
    <row r="35" spans="1:2" x14ac:dyDescent="0.25">
      <c r="A35" t="str">
        <f t="array" aca="1" ref="A35" ca="1">IFERROR(INDEX(MID(Sheets,FIND("]",Sheets)+1,255),SMALL(IF(MID(Sheets,FIND("]",Sheets)+1,255)&lt;&gt;MID(CELL("filename",A34),FIND("]",CELL("filename",A34))+1,255),ROW(INDIRECT("$A$1:$A$"&amp;COUNTA(MID(Sheets,FIND("]",Sheets)+1,255))))),ROW(34:34)),1),"")</f>
        <v/>
      </c>
      <c r="B35" s="10" t="str">
        <f t="shared" ca="1" si="0"/>
        <v>GotoSheet</v>
      </c>
    </row>
    <row r="36" spans="1:2" x14ac:dyDescent="0.25">
      <c r="A36" t="str">
        <f t="array" aca="1" ref="A36" ca="1">IFERROR(INDEX(MID(Sheets,FIND("]",Sheets)+1,255),SMALL(IF(MID(Sheets,FIND("]",Sheets)+1,255)&lt;&gt;MID(CELL("filename",A35),FIND("]",CELL("filename",A35))+1,255),ROW(INDIRECT("$A$1:$A$"&amp;COUNTA(MID(Sheets,FIND("]",Sheets)+1,255))))),ROW(35:35)),1),"")</f>
        <v/>
      </c>
      <c r="B36" s="10" t="str">
        <f t="shared" ca="1" si="0"/>
        <v>GotoSheet</v>
      </c>
    </row>
    <row r="37" spans="1:2" x14ac:dyDescent="0.25">
      <c r="A37" t="str">
        <f t="array" aca="1" ref="A37" ca="1">IFERROR(INDEX(MID(Sheets,FIND("]",Sheets)+1,255),SMALL(IF(MID(Sheets,FIND("]",Sheets)+1,255)&lt;&gt;MID(CELL("filename",A36),FIND("]",CELL("filename",A36))+1,255),ROW(INDIRECT("$A$1:$A$"&amp;COUNTA(MID(Sheets,FIND("]",Sheets)+1,255))))),ROW(36:36)),1),"")</f>
        <v/>
      </c>
      <c r="B37" s="10" t="str">
        <f t="shared" ca="1" si="0"/>
        <v>GotoSheet</v>
      </c>
    </row>
    <row r="38" spans="1:2" x14ac:dyDescent="0.25">
      <c r="A38" t="str">
        <f t="array" aca="1" ref="A38" ca="1">IFERROR(INDEX(MID(Sheets,FIND("]",Sheets)+1,255),SMALL(IF(MID(Sheets,FIND("]",Sheets)+1,255)&lt;&gt;MID(CELL("filename",A37),FIND("]",CELL("filename",A37))+1,255),ROW(INDIRECT("$A$1:$A$"&amp;COUNTA(MID(Sheets,FIND("]",Sheets)+1,255))))),ROW(37:37)),1),"")</f>
        <v/>
      </c>
      <c r="B38" s="10" t="str">
        <f t="shared" ca="1" si="0"/>
        <v>GotoSheet</v>
      </c>
    </row>
    <row r="39" spans="1:2" x14ac:dyDescent="0.25">
      <c r="A39" t="str">
        <f t="array" aca="1" ref="A39" ca="1">IFERROR(INDEX(MID(Sheets,FIND("]",Sheets)+1,255),SMALL(IF(MID(Sheets,FIND("]",Sheets)+1,255)&lt;&gt;MID(CELL("filename",A38),FIND("]",CELL("filename",A38))+1,255),ROW(INDIRECT("$A$1:$A$"&amp;COUNTA(MID(Sheets,FIND("]",Sheets)+1,255))))),ROW(38:38)),1),"")</f>
        <v/>
      </c>
      <c r="B39" s="10" t="str">
        <f t="shared" ca="1" si="0"/>
        <v>GotoSheet</v>
      </c>
    </row>
    <row r="40" spans="1:2" x14ac:dyDescent="0.25">
      <c r="A40" t="str">
        <f t="array" aca="1" ref="A40" ca="1">IFERROR(INDEX(MID(Sheets,FIND("]",Sheets)+1,255),SMALL(IF(MID(Sheets,FIND("]",Sheets)+1,255)&lt;&gt;MID(CELL("filename",A39),FIND("]",CELL("filename",A39))+1,255),ROW(INDIRECT("$A$1:$A$"&amp;COUNTA(MID(Sheets,FIND("]",Sheets)+1,255))))),ROW(39:39)),1),"")</f>
        <v/>
      </c>
      <c r="B40" s="10" t="str">
        <f t="shared" ca="1" si="0"/>
        <v>GotoSheet</v>
      </c>
    </row>
    <row r="41" spans="1:2" x14ac:dyDescent="0.25">
      <c r="A41" t="str">
        <f t="array" aca="1" ref="A41" ca="1">IFERROR(INDEX(MID(Sheets,FIND("]",Sheets)+1,255),SMALL(IF(MID(Sheets,FIND("]",Sheets)+1,255)&lt;&gt;MID(CELL("filename",A40),FIND("]",CELL("filename",A40))+1,255),ROW(INDIRECT("$A$1:$A$"&amp;COUNTA(MID(Sheets,FIND("]",Sheets)+1,255))))),ROW(40:40)),1),"")</f>
        <v/>
      </c>
      <c r="B41" s="10" t="str">
        <f t="shared" ca="1" si="0"/>
        <v>GotoSheet</v>
      </c>
    </row>
    <row r="42" spans="1:2" x14ac:dyDescent="0.25">
      <c r="A42" t="str">
        <f t="array" aca="1" ref="A42" ca="1">IFERROR(INDEX(MID(Sheets,FIND("]",Sheets)+1,255),SMALL(IF(MID(Sheets,FIND("]",Sheets)+1,255)&lt;&gt;MID(CELL("filename",A41),FIND("]",CELL("filename",A41))+1,255),ROW(INDIRECT("$A$1:$A$"&amp;COUNTA(MID(Sheets,FIND("]",Sheets)+1,255))))),ROW(41:41)),1),"")</f>
        <v/>
      </c>
      <c r="B42" s="10" t="str">
        <f t="shared" ca="1" si="0"/>
        <v>GotoSheet</v>
      </c>
    </row>
    <row r="43" spans="1:2" x14ac:dyDescent="0.25">
      <c r="A43" t="str">
        <f t="array" aca="1" ref="A43" ca="1">IFERROR(INDEX(MID(Sheets,FIND("]",Sheets)+1,255),SMALL(IF(MID(Sheets,FIND("]",Sheets)+1,255)&lt;&gt;MID(CELL("filename",A42),FIND("]",CELL("filename",A42))+1,255),ROW(INDIRECT("$A$1:$A$"&amp;COUNTA(MID(Sheets,FIND("]",Sheets)+1,255))))),ROW(42:42)),1),"")</f>
        <v/>
      </c>
      <c r="B43" s="10" t="str">
        <f t="shared" ca="1" si="0"/>
        <v>GotoSheet</v>
      </c>
    </row>
    <row r="44" spans="1:2" x14ac:dyDescent="0.25">
      <c r="A44" t="str">
        <f t="array" aca="1" ref="A44" ca="1">IFERROR(INDEX(MID(Sheets,FIND("]",Sheets)+1,255),SMALL(IF(MID(Sheets,FIND("]",Sheets)+1,255)&lt;&gt;MID(CELL("filename",A43),FIND("]",CELL("filename",A43))+1,255),ROW(INDIRECT("$A$1:$A$"&amp;COUNTA(MID(Sheets,FIND("]",Sheets)+1,255))))),ROW(43:43)),1),"")</f>
        <v/>
      </c>
      <c r="B44" s="10" t="str">
        <f t="shared" ca="1" si="0"/>
        <v>GotoSheet</v>
      </c>
    </row>
    <row r="45" spans="1:2" x14ac:dyDescent="0.25">
      <c r="A45" t="str">
        <f t="array" aca="1" ref="A45" ca="1">IFERROR(INDEX(MID(Sheets,FIND("]",Sheets)+1,255),SMALL(IF(MID(Sheets,FIND("]",Sheets)+1,255)&lt;&gt;MID(CELL("filename",A44),FIND("]",CELL("filename",A44))+1,255),ROW(INDIRECT("$A$1:$A$"&amp;COUNTA(MID(Sheets,FIND("]",Sheets)+1,255))))),ROW(44:44)),1),"")</f>
        <v/>
      </c>
      <c r="B45" s="10" t="str">
        <f t="shared" ca="1" si="0"/>
        <v>GotoSheet</v>
      </c>
    </row>
    <row r="46" spans="1:2" x14ac:dyDescent="0.25">
      <c r="A46" t="str">
        <f t="array" aca="1" ref="A46" ca="1">IFERROR(INDEX(MID(Sheets,FIND("]",Sheets)+1,255),SMALL(IF(MID(Sheets,FIND("]",Sheets)+1,255)&lt;&gt;MID(CELL("filename",A45),FIND("]",CELL("filename",A45))+1,255),ROW(INDIRECT("$A$1:$A$"&amp;COUNTA(MID(Sheets,FIND("]",Sheets)+1,255))))),ROW(45:45)),1),"")</f>
        <v/>
      </c>
      <c r="B46" s="10" t="str">
        <f t="shared" ca="1" si="0"/>
        <v>GotoSheet</v>
      </c>
    </row>
    <row r="47" spans="1:2" x14ac:dyDescent="0.25">
      <c r="A47" t="str">
        <f t="array" aca="1" ref="A47" ca="1">IFERROR(INDEX(MID(Sheets,FIND("]",Sheets)+1,255),SMALL(IF(MID(Sheets,FIND("]",Sheets)+1,255)&lt;&gt;MID(CELL("filename",A46),FIND("]",CELL("filename",A46))+1,255),ROW(INDIRECT("$A$1:$A$"&amp;COUNTA(MID(Sheets,FIND("]",Sheets)+1,255))))),ROW(46:46)),1),"")</f>
        <v/>
      </c>
      <c r="B47" s="10" t="str">
        <f t="shared" ca="1" si="0"/>
        <v>GotoSheet</v>
      </c>
    </row>
    <row r="48" spans="1:2" x14ac:dyDescent="0.25">
      <c r="A48" t="str">
        <f t="array" aca="1" ref="A48" ca="1">IFERROR(INDEX(MID(Sheets,FIND("]",Sheets)+1,255),SMALL(IF(MID(Sheets,FIND("]",Sheets)+1,255)&lt;&gt;MID(CELL("filename",A47),FIND("]",CELL("filename",A47))+1,255),ROW(INDIRECT("$A$1:$A$"&amp;COUNTA(MID(Sheets,FIND("]",Sheets)+1,255))))),ROW(47:47)),1),"")</f>
        <v/>
      </c>
      <c r="B48" s="10" t="str">
        <f t="shared" ca="1" si="0"/>
        <v>GotoSheet</v>
      </c>
    </row>
    <row r="49" spans="1:2" x14ac:dyDescent="0.25">
      <c r="A49" t="str">
        <f t="array" aca="1" ref="A49" ca="1">IFERROR(INDEX(MID(Sheets,FIND("]",Sheets)+1,255),SMALL(IF(MID(Sheets,FIND("]",Sheets)+1,255)&lt;&gt;MID(CELL("filename",A48),FIND("]",CELL("filename",A48))+1,255),ROW(INDIRECT("$A$1:$A$"&amp;COUNTA(MID(Sheets,FIND("]",Sheets)+1,255))))),ROW(48:48)),1),"")</f>
        <v/>
      </c>
      <c r="B49" s="10" t="str">
        <f t="shared" ca="1" si="0"/>
        <v>GotoSheet</v>
      </c>
    </row>
    <row r="50" spans="1:2" x14ac:dyDescent="0.25">
      <c r="A50" t="str">
        <f t="array" aca="1" ref="A50" ca="1">IFERROR(INDEX(MID(Sheets,FIND("]",Sheets)+1,255),SMALL(IF(MID(Sheets,FIND("]",Sheets)+1,255)&lt;&gt;MID(CELL("filename",A49),FIND("]",CELL("filename",A49))+1,255),ROW(INDIRECT("$A$1:$A$"&amp;COUNTA(MID(Sheets,FIND("]",Sheets)+1,255))))),ROW(49:49)),1),"")</f>
        <v/>
      </c>
      <c r="B50" s="10" t="str">
        <f t="shared" ca="1" si="0"/>
        <v>GotoSheet</v>
      </c>
    </row>
    <row r="51" spans="1:2" x14ac:dyDescent="0.25">
      <c r="A51" t="str">
        <f t="array" aca="1" ref="A51" ca="1">IFERROR(INDEX(MID(Sheets,FIND("]",Sheets)+1,255),SMALL(IF(MID(Sheets,FIND("]",Sheets)+1,255)&lt;&gt;MID(CELL("filename",A50),FIND("]",CELL("filename",A50))+1,255),ROW(INDIRECT("$A$1:$A$"&amp;COUNTA(MID(Sheets,FIND("]",Sheets)+1,255))))),ROW(50:50)),1),"")</f>
        <v/>
      </c>
      <c r="B51" s="10" t="str">
        <f t="shared" ca="1" si="0"/>
        <v>GotoSheet</v>
      </c>
    </row>
    <row r="52" spans="1:2" x14ac:dyDescent="0.25">
      <c r="A52" t="str">
        <f t="array" aca="1" ref="A52" ca="1">IFERROR(INDEX(MID(Sheets,FIND("]",Sheets)+1,255),SMALL(IF(MID(Sheets,FIND("]",Sheets)+1,255)&lt;&gt;MID(CELL("filename",A51),FIND("]",CELL("filename",A51))+1,255),ROW(INDIRECT("$A$1:$A$"&amp;COUNTA(MID(Sheets,FIND("]",Sheets)+1,255))))),ROW(51:51)),1),"")</f>
        <v/>
      </c>
      <c r="B52" s="10" t="str">
        <f t="shared" ca="1" si="0"/>
        <v>GotoSheet</v>
      </c>
    </row>
    <row r="53" spans="1:2" x14ac:dyDescent="0.25">
      <c r="A53" t="str">
        <f t="array" aca="1" ref="A53" ca="1">IFERROR(INDEX(MID(Sheets,FIND("]",Sheets)+1,255),SMALL(IF(MID(Sheets,FIND("]",Sheets)+1,255)&lt;&gt;MID(CELL("filename",A52),FIND("]",CELL("filename",A52))+1,255),ROW(INDIRECT("$A$1:$A$"&amp;COUNTA(MID(Sheets,FIND("]",Sheets)+1,255))))),ROW(52:52)),1),"")</f>
        <v/>
      </c>
      <c r="B53" s="10" t="str">
        <f t="shared" ca="1" si="0"/>
        <v>GotoSheet</v>
      </c>
    </row>
    <row r="54" spans="1:2" x14ac:dyDescent="0.25">
      <c r="A54" t="str">
        <f t="array" aca="1" ref="A54" ca="1">IFERROR(INDEX(MID(Sheets,FIND("]",Sheets)+1,255),SMALL(IF(MID(Sheets,FIND("]",Sheets)+1,255)&lt;&gt;MID(CELL("filename",A53),FIND("]",CELL("filename",A53))+1,255),ROW(INDIRECT("$A$1:$A$"&amp;COUNTA(MID(Sheets,FIND("]",Sheets)+1,255))))),ROW(53:53)),1),"")</f>
        <v/>
      </c>
      <c r="B54" s="10" t="str">
        <f t="shared" ca="1" si="0"/>
        <v>GotoSheet</v>
      </c>
    </row>
    <row r="55" spans="1:2" x14ac:dyDescent="0.25">
      <c r="A55" t="str">
        <f t="array" aca="1" ref="A55" ca="1">IFERROR(INDEX(MID(Sheets,FIND("]",Sheets)+1,255),SMALL(IF(MID(Sheets,FIND("]",Sheets)+1,255)&lt;&gt;MID(CELL("filename",A54),FIND("]",CELL("filename",A54))+1,255),ROW(INDIRECT("$A$1:$A$"&amp;COUNTA(MID(Sheets,FIND("]",Sheets)+1,255))))),ROW(54:54)),1),"")</f>
        <v/>
      </c>
      <c r="B55" s="10" t="str">
        <f t="shared" ca="1" si="0"/>
        <v>GotoSheet</v>
      </c>
    </row>
    <row r="56" spans="1:2" x14ac:dyDescent="0.25">
      <c r="A56" t="str">
        <f t="array" aca="1" ref="A56" ca="1">IFERROR(INDEX(MID(Sheets,FIND("]",Sheets)+1,255),SMALL(IF(MID(Sheets,FIND("]",Sheets)+1,255)&lt;&gt;MID(CELL("filename",A55),FIND("]",CELL("filename",A55))+1,255),ROW(INDIRECT("$A$1:$A$"&amp;COUNTA(MID(Sheets,FIND("]",Sheets)+1,255))))),ROW(55:55)),1),"")</f>
        <v/>
      </c>
      <c r="B56" s="10" t="str">
        <f t="shared" ca="1" si="0"/>
        <v>GotoSheet</v>
      </c>
    </row>
    <row r="57" spans="1:2" x14ac:dyDescent="0.25">
      <c r="A57" t="str">
        <f t="array" aca="1" ref="A57" ca="1">IFERROR(INDEX(MID(Sheets,FIND("]",Sheets)+1,255),SMALL(IF(MID(Sheets,FIND("]",Sheets)+1,255)&lt;&gt;MID(CELL("filename",A56),FIND("]",CELL("filename",A56))+1,255),ROW(INDIRECT("$A$1:$A$"&amp;COUNTA(MID(Sheets,FIND("]",Sheets)+1,255))))),ROW(56:56)),1),"")</f>
        <v/>
      </c>
      <c r="B57" s="10" t="str">
        <f t="shared" ca="1" si="0"/>
        <v>GotoSheet</v>
      </c>
    </row>
    <row r="58" spans="1:2" x14ac:dyDescent="0.25">
      <c r="A58" t="str">
        <f t="array" aca="1" ref="A58" ca="1">IFERROR(INDEX(MID(Sheets,FIND("]",Sheets)+1,255),SMALL(IF(MID(Sheets,FIND("]",Sheets)+1,255)&lt;&gt;MID(CELL("filename",A57),FIND("]",CELL("filename",A57))+1,255),ROW(INDIRECT("$A$1:$A$"&amp;COUNTA(MID(Sheets,FIND("]",Sheets)+1,255))))),ROW(57:57)),1),"")</f>
        <v/>
      </c>
      <c r="B58" s="10" t="str">
        <f t="shared" ca="1" si="0"/>
        <v>GotoSheet</v>
      </c>
    </row>
    <row r="59" spans="1:2" x14ac:dyDescent="0.25">
      <c r="A59" t="str">
        <f t="array" aca="1" ref="A59" ca="1">IFERROR(INDEX(MID(Sheets,FIND("]",Sheets)+1,255),SMALL(IF(MID(Sheets,FIND("]",Sheets)+1,255)&lt;&gt;MID(CELL("filename",A58),FIND("]",CELL("filename",A58))+1,255),ROW(INDIRECT("$A$1:$A$"&amp;COUNTA(MID(Sheets,FIND("]",Sheets)+1,255))))),ROW(58:58)),1),"")</f>
        <v/>
      </c>
      <c r="B59" s="10" t="str">
        <f t="shared" ca="1" si="0"/>
        <v>GotoSheet</v>
      </c>
    </row>
    <row r="60" spans="1:2" x14ac:dyDescent="0.25">
      <c r="A60" t="str">
        <f t="array" aca="1" ref="A60" ca="1">IFERROR(INDEX(MID(Sheets,FIND("]",Sheets)+1,255),SMALL(IF(MID(Sheets,FIND("]",Sheets)+1,255)&lt;&gt;MID(CELL("filename",A59),FIND("]",CELL("filename",A59))+1,255),ROW(INDIRECT("$A$1:$A$"&amp;COUNTA(MID(Sheets,FIND("]",Sheets)+1,255))))),ROW(59:59)),1),"")</f>
        <v/>
      </c>
      <c r="B60" s="10" t="str">
        <f t="shared" ca="1" si="0"/>
        <v>GotoSheet</v>
      </c>
    </row>
    <row r="61" spans="1:2" x14ac:dyDescent="0.25">
      <c r="A61" t="str">
        <f t="array" aca="1" ref="A61" ca="1">IFERROR(INDEX(MID(Sheets,FIND("]",Sheets)+1,255),SMALL(IF(MID(Sheets,FIND("]",Sheets)+1,255)&lt;&gt;MID(CELL("filename",A60),FIND("]",CELL("filename",A60))+1,255),ROW(INDIRECT("$A$1:$A$"&amp;COUNTA(MID(Sheets,FIND("]",Sheets)+1,255))))),ROW(60:60)),1),"")</f>
        <v/>
      </c>
      <c r="B61" s="10" t="str">
        <f t="shared" ca="1" si="0"/>
        <v>GotoSheet</v>
      </c>
    </row>
    <row r="62" spans="1:2" x14ac:dyDescent="0.25">
      <c r="A62" t="str">
        <f t="array" aca="1" ref="A62" ca="1">IFERROR(INDEX(MID(Sheets,FIND("]",Sheets)+1,255),SMALL(IF(MID(Sheets,FIND("]",Sheets)+1,255)&lt;&gt;MID(CELL("filename",A61),FIND("]",CELL("filename",A61))+1,255),ROW(INDIRECT("$A$1:$A$"&amp;COUNTA(MID(Sheets,FIND("]",Sheets)+1,255))))),ROW(61:61)),1),"")</f>
        <v/>
      </c>
      <c r="B62" s="10" t="str">
        <f t="shared" ca="1" si="0"/>
        <v>GotoSheet</v>
      </c>
    </row>
    <row r="63" spans="1:2" x14ac:dyDescent="0.25">
      <c r="A63" t="str">
        <f t="array" aca="1" ref="A63" ca="1">IFERROR(INDEX(MID(Sheets,FIND("]",Sheets)+1,255),SMALL(IF(MID(Sheets,FIND("]",Sheets)+1,255)&lt;&gt;MID(CELL("filename",A62),FIND("]",CELL("filename",A62))+1,255),ROW(INDIRECT("$A$1:$A$"&amp;COUNTA(MID(Sheets,FIND("]",Sheets)+1,255))))),ROW(62:62)),1),"")</f>
        <v/>
      </c>
      <c r="B63" s="10" t="str">
        <f t="shared" ca="1" si="0"/>
        <v>GotoSheet</v>
      </c>
    </row>
    <row r="64" spans="1:2" x14ac:dyDescent="0.25">
      <c r="A64" t="str">
        <f t="array" aca="1" ref="A64" ca="1">IFERROR(INDEX(MID(Sheets,FIND("]",Sheets)+1,255),SMALL(IF(MID(Sheets,FIND("]",Sheets)+1,255)&lt;&gt;MID(CELL("filename",A63),FIND("]",CELL("filename",A63))+1,255),ROW(INDIRECT("$A$1:$A$"&amp;COUNTA(MID(Sheets,FIND("]",Sheets)+1,255))))),ROW(63:63)),1),"")</f>
        <v/>
      </c>
      <c r="B64" s="10" t="str">
        <f t="shared" ca="1" si="0"/>
        <v>GotoSheet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"/>
  <sheetViews>
    <sheetView showGridLines="0" workbookViewId="0">
      <selection activeCell="F16" sqref="F16"/>
    </sheetView>
  </sheetViews>
  <sheetFormatPr defaultRowHeight="13.2" x14ac:dyDescent="0.25"/>
  <cols>
    <col min="1" max="10" width="15.6640625" customWidth="1"/>
    <col min="11" max="11" width="100.6640625" style="2" customWidth="1"/>
  </cols>
  <sheetData>
    <row r="1" spans="1:11" x14ac:dyDescent="0.25">
      <c r="A1" s="1" t="s">
        <v>4</v>
      </c>
      <c r="B1" s="3" t="s">
        <v>25</v>
      </c>
      <c r="C1" s="11" t="s">
        <v>49</v>
      </c>
      <c r="D1" s="3"/>
      <c r="E1" s="3"/>
      <c r="F1" s="3"/>
      <c r="G1" s="3"/>
      <c r="H1" s="3"/>
      <c r="I1" s="3"/>
      <c r="J1" s="3"/>
      <c r="K1"/>
    </row>
    <row r="2" spans="1:11" x14ac:dyDescent="0.25">
      <c r="K2"/>
    </row>
    <row r="3" spans="1:11" x14ac:dyDescent="0.25">
      <c r="A3" s="4" t="s">
        <v>16</v>
      </c>
      <c r="B3" s="4" t="s">
        <v>17</v>
      </c>
      <c r="C3" s="4" t="s">
        <v>18</v>
      </c>
      <c r="D3" s="4" t="s">
        <v>32</v>
      </c>
      <c r="E3" s="4" t="s">
        <v>19</v>
      </c>
      <c r="F3" s="4" t="s">
        <v>20</v>
      </c>
      <c r="G3" s="4" t="s">
        <v>15</v>
      </c>
      <c r="H3" s="4" t="s">
        <v>14</v>
      </c>
      <c r="I3" s="4" t="s">
        <v>90</v>
      </c>
      <c r="J3" s="4" t="s">
        <v>91</v>
      </c>
      <c r="K3" s="2" t="str">
        <f>"DELETE "&amp;$B$1</f>
        <v>DELETE Auth_User</v>
      </c>
    </row>
    <row r="4" spans="1:11" x14ac:dyDescent="0.25">
      <c r="A4" t="s">
        <v>21</v>
      </c>
      <c r="B4" t="s">
        <v>5</v>
      </c>
      <c r="C4" t="s">
        <v>5</v>
      </c>
      <c r="D4" t="s">
        <v>33</v>
      </c>
      <c r="G4">
        <v>1</v>
      </c>
      <c r="I4" s="7">
        <f ca="1">TODAY()</f>
        <v>42823</v>
      </c>
      <c r="J4" t="s">
        <v>92</v>
      </c>
      <c r="K4" s="2" t="str">
        <f ca="1">"INSERT INTO "&amp;$B$1&amp;" ("&amp;$A$3&amp;", "&amp;$B$3&amp;", "&amp;$C$3&amp;", "&amp;$D$3&amp;", "&amp;$E$3&amp;", "&amp;$F$3&amp;", "&amp;$G$3&amp;", "&amp;$H$3&amp;", "&amp;$I$3&amp;", "&amp;$J$3&amp;", XmlMeta) VALUES(N'"&amp;A4&amp;"', N'"&amp;B4&amp;"', N'"&amp;C4&amp;"', N'"&amp;D4&amp;"', N'"&amp;E4&amp;"', N'"&amp;F4&amp;"', N'"&amp;G4&amp;"', N'"&amp;H4&amp;"', N'"&amp;TEXT(I4, "yyyy-MM-dd")&amp;"', N'"&amp;J4&amp;"', N'&lt;Root&gt;&lt;/Root&gt;')"</f>
        <v>INSERT INTO Auth_User (UserID, FullName, DisplayName, Password, Phone, Email, IsActive, Note, RowCreatedAt, RowCreatedBy, XmlMeta) VALUES(N'administrator', N'Quản trị hệ thống', N'Quản trị hệ thống', N'e10adc3949ba59abbe56e057f20f883e', N'', N'', N'1', N'', N'2017-03-29', N'system',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showGridLines="0" workbookViewId="0">
      <selection activeCell="G3" sqref="G3:G4"/>
    </sheetView>
  </sheetViews>
  <sheetFormatPr defaultRowHeight="13.2" x14ac:dyDescent="0.25"/>
  <cols>
    <col min="2" max="6" width="15.6640625" customWidth="1"/>
    <col min="7" max="7" width="100.6640625" style="2" customWidth="1"/>
  </cols>
  <sheetData>
    <row r="1" spans="1:7" x14ac:dyDescent="0.25">
      <c r="A1" s="1" t="s">
        <v>4</v>
      </c>
      <c r="B1" s="3" t="s">
        <v>11</v>
      </c>
      <c r="C1" s="11" t="s">
        <v>49</v>
      </c>
      <c r="G1"/>
    </row>
    <row r="2" spans="1:7" x14ac:dyDescent="0.25">
      <c r="G2"/>
    </row>
    <row r="3" spans="1:7" x14ac:dyDescent="0.25">
      <c r="A3" s="4" t="s">
        <v>12</v>
      </c>
      <c r="B3" s="4" t="s">
        <v>13</v>
      </c>
      <c r="C3" s="4" t="s">
        <v>14</v>
      </c>
      <c r="D3" s="4" t="s">
        <v>15</v>
      </c>
      <c r="E3" s="4" t="s">
        <v>90</v>
      </c>
      <c r="F3" s="4" t="s">
        <v>91</v>
      </c>
      <c r="G3" s="2" t="str">
        <f>"DELETE "&amp;$B$1</f>
        <v>DELETE Auth_Role</v>
      </c>
    </row>
    <row r="4" spans="1:7" x14ac:dyDescent="0.25">
      <c r="B4" t="s">
        <v>109</v>
      </c>
      <c r="D4">
        <v>1</v>
      </c>
      <c r="E4" s="7">
        <f ca="1">TODAY()</f>
        <v>42823</v>
      </c>
      <c r="F4" t="s">
        <v>92</v>
      </c>
      <c r="G4" s="2" t="str">
        <f ca="1">"INSERT INTO "&amp;$B$1&amp;" ("&amp;$B$3&amp;", "&amp;$C$3&amp;", "&amp;$D$3&amp;", "&amp;$E$3&amp;", "&amp;$F$3&amp;", XmlMeta) VALUES(N'"&amp;B4&amp;"', N'"&amp;C4&amp;"', N'"&amp;D4&amp;"', N'"&amp;TEXT(E4,"yyyy-MM-dd")&amp;"', N'"&amp;F4&amp;"', N'&lt;Root&gt;&lt;/Root&gt;')"</f>
        <v>INSERT INTO Auth_Role (RoleName, Note, IsActive, RowCreatedAt, RowCreatedBy, XmlMeta) VALUES(N'Administrator', N'', N'1', N'2017-03-29', N'system',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5"/>
  <sheetViews>
    <sheetView showGridLines="0" topLeftCell="A4" zoomScale="85" zoomScaleNormal="85" workbookViewId="0">
      <selection activeCell="B41" sqref="B41"/>
    </sheetView>
  </sheetViews>
  <sheetFormatPr defaultRowHeight="13.2" x14ac:dyDescent="0.25"/>
  <cols>
    <col min="1" max="1" width="12.44140625" customWidth="1"/>
    <col min="2" max="2" width="38.44140625" bestFit="1" customWidth="1"/>
    <col min="3" max="3" width="28" bestFit="1" customWidth="1"/>
    <col min="4" max="4" width="34.88671875" bestFit="1" customWidth="1"/>
    <col min="5" max="5" width="9.88671875" bestFit="1" customWidth="1"/>
    <col min="6" max="6" width="31.33203125" bestFit="1" customWidth="1"/>
    <col min="7" max="7" width="11" bestFit="1" customWidth="1"/>
    <col min="8" max="8" width="7.6640625" bestFit="1" customWidth="1"/>
    <col min="9" max="9" width="15.6640625" customWidth="1"/>
    <col min="10" max="10" width="100.6640625" style="2" customWidth="1"/>
  </cols>
  <sheetData>
    <row r="1" spans="2:10" x14ac:dyDescent="0.25">
      <c r="B1" s="1" t="s">
        <v>4</v>
      </c>
      <c r="C1" s="3" t="s">
        <v>8</v>
      </c>
      <c r="D1" s="11" t="s">
        <v>49</v>
      </c>
      <c r="J1"/>
    </row>
    <row r="2" spans="2:10" x14ac:dyDescent="0.25">
      <c r="J2"/>
    </row>
    <row r="3" spans="2:10" x14ac:dyDescent="0.25">
      <c r="B3" s="4" t="s">
        <v>0</v>
      </c>
      <c r="C3" s="4" t="s">
        <v>1</v>
      </c>
      <c r="D3" s="4" t="s">
        <v>2</v>
      </c>
      <c r="E3" s="4" t="s">
        <v>10</v>
      </c>
      <c r="F3" s="4" t="s">
        <v>3</v>
      </c>
      <c r="G3" s="4" t="s">
        <v>39</v>
      </c>
      <c r="H3" s="4" t="s">
        <v>6</v>
      </c>
      <c r="I3" s="4" t="s">
        <v>104</v>
      </c>
      <c r="J3" s="2" t="str">
        <f>"DELETE "&amp;$C$1</f>
        <v>DELETE Auth_Menu</v>
      </c>
    </row>
    <row r="4" spans="2:10" x14ac:dyDescent="0.25">
      <c r="B4" s="15" t="s">
        <v>34</v>
      </c>
      <c r="D4" s="15" t="s">
        <v>35</v>
      </c>
      <c r="E4" s="12">
        <v>1</v>
      </c>
      <c r="F4" t="s">
        <v>34</v>
      </c>
      <c r="G4" t="s">
        <v>40</v>
      </c>
      <c r="H4">
        <v>1</v>
      </c>
      <c r="I4" s="12">
        <v>1</v>
      </c>
      <c r="J4" s="2" t="str">
        <f>"INSERT INTO "&amp;$C$1&amp;" ("&amp;$I$3&amp;","&amp;$B$3&amp;", "&amp;$C$3&amp;", "&amp;$D$3&amp;", "&amp;$E$3&amp;", "&amp;$F$3&amp;", "&amp;$G$3&amp;", "&amp;$H$3&amp;", XmlMeta) VALUES(N'"&amp;I4&amp;"',N'"&amp;B4&amp;"', N'"&amp;C4&amp;"', N'"&amp;D4&amp;"', N'"&amp;E4&amp;"', N'"&amp;F4&amp;"', N'"&amp;G4&amp;"', N'"&amp;H4&amp;"', N'&lt;Root&gt;&lt;/Root&gt;')"</f>
        <v>INSERT INTO Auth_Menu (ID,MenuID, ParentMenuID, MenuName, MenuIndex, ControllerName, Icon, IsVisible, XmlMeta) VALUES(N'1',N'Home', N'', N'Trang chủ', N'1', N'Home', N'fa-home', N'1', N'&lt;Root&gt;&lt;/Root&gt;')</v>
      </c>
    </row>
    <row r="5" spans="2:10" x14ac:dyDescent="0.25">
      <c r="B5" s="15" t="s">
        <v>101</v>
      </c>
      <c r="C5" s="5"/>
      <c r="D5" s="15" t="s">
        <v>116</v>
      </c>
      <c r="E5" s="12">
        <v>2</v>
      </c>
      <c r="H5">
        <v>1</v>
      </c>
      <c r="I5" s="12">
        <v>2</v>
      </c>
      <c r="J5" s="2" t="str">
        <f t="shared" ref="J5:J55" si="0">"INSERT INTO "&amp;$C$1&amp;" ("&amp;$I$3&amp;","&amp;$B$3&amp;", "&amp;$C$3&amp;", "&amp;$D$3&amp;", "&amp;$E$3&amp;", "&amp;$F$3&amp;", "&amp;$G$3&amp;", "&amp;$H$3&amp;", XmlMeta) VALUES(N'"&amp;I5&amp;"',N'"&amp;B5&amp;"', N'"&amp;C5&amp;"', N'"&amp;D5&amp;"', N'"&amp;E5&amp;"', N'"&amp;F5&amp;"', N'"&amp;G5&amp;"', N'"&amp;H5&amp;"', N'&lt;Root&gt;&lt;/Root&gt;')"</f>
        <v>INSERT INTO Auth_Menu (ID,MenuID, ParentMenuID, MenuName, MenuIndex, ControllerName, Icon, IsVisible, XmlMeta) VALUES(N'2',N'Admin', N'', N'Quản lý hệ thống', N'2', N'', N'', N'1', N'&lt;Root&gt;&lt;/Root&gt;')</v>
      </c>
    </row>
    <row r="6" spans="2:10" x14ac:dyDescent="0.25">
      <c r="B6" s="17" t="s">
        <v>25</v>
      </c>
      <c r="C6" s="18" t="s">
        <v>101</v>
      </c>
      <c r="D6" s="17" t="s">
        <v>9</v>
      </c>
      <c r="E6" s="19">
        <v>1</v>
      </c>
      <c r="F6" s="20" t="s">
        <v>25</v>
      </c>
      <c r="G6" s="20"/>
      <c r="H6" s="20">
        <v>1</v>
      </c>
      <c r="I6" s="19">
        <v>2.1</v>
      </c>
      <c r="J6" s="2" t="str">
        <f t="shared" si="0"/>
        <v>INSERT INTO Auth_Menu (ID,MenuID, ParentMenuID, MenuName, MenuIndex, ControllerName, Icon, IsVisible, XmlMeta) VALUES(N'2.1',N'Auth_User', N'Admin', N'Người dùng', N'1', N'Auth_User', N'', N'1', N'&lt;Root&gt;&lt;/Root&gt;')</v>
      </c>
    </row>
    <row r="7" spans="2:10" x14ac:dyDescent="0.25">
      <c r="B7" s="17" t="s">
        <v>11</v>
      </c>
      <c r="C7" s="18" t="s">
        <v>101</v>
      </c>
      <c r="D7" s="17" t="s">
        <v>7</v>
      </c>
      <c r="E7" s="19">
        <v>2</v>
      </c>
      <c r="F7" s="20" t="s">
        <v>11</v>
      </c>
      <c r="G7" s="20"/>
      <c r="H7" s="20">
        <v>1</v>
      </c>
      <c r="I7" s="19">
        <v>2.2000000000000002</v>
      </c>
      <c r="J7" s="2" t="str">
        <f t="shared" si="0"/>
        <v>INSERT INTO Auth_Menu (ID,MenuID, ParentMenuID, MenuName, MenuIndex, ControllerName, Icon, IsVisible, XmlMeta) VALUES(N'2.2',N'Auth_Role', N'Admin', N'Nhóm người dùng', N'2', N'Auth_Role', N'', N'1', N'&lt;Root&gt;&lt;/Root&gt;')</v>
      </c>
    </row>
    <row r="8" spans="2:10" x14ac:dyDescent="0.25">
      <c r="B8" s="17" t="s">
        <v>102</v>
      </c>
      <c r="C8" s="18" t="s">
        <v>101</v>
      </c>
      <c r="D8" s="17" t="s">
        <v>157</v>
      </c>
      <c r="E8" s="19">
        <v>3</v>
      </c>
      <c r="F8" s="20"/>
      <c r="G8" s="20"/>
      <c r="H8" s="20">
        <v>0</v>
      </c>
      <c r="I8" s="19">
        <v>2.2999999999999998</v>
      </c>
      <c r="J8" s="2" t="str">
        <f t="shared" si="0"/>
        <v>INSERT INTO Auth_Menu (ID,MenuID, ParentMenuID, MenuName, MenuIndex, ControllerName, Icon, IsVisible, XmlMeta) VALUES(N'2.3',N'Master_Announcement', N'Admin', N'Bản tin', N'3', N'', N'', N'0', N'&lt;Root&gt;&lt;/Root&gt;')</v>
      </c>
    </row>
    <row r="9" spans="2:10" x14ac:dyDescent="0.25">
      <c r="B9" s="17" t="s">
        <v>173</v>
      </c>
      <c r="C9" s="17" t="s">
        <v>102</v>
      </c>
      <c r="D9" s="17" t="s">
        <v>158</v>
      </c>
      <c r="E9" s="19">
        <v>1</v>
      </c>
      <c r="F9" s="20" t="s">
        <v>105</v>
      </c>
      <c r="G9" s="20"/>
      <c r="H9" s="20">
        <v>0</v>
      </c>
      <c r="I9" s="19" t="s">
        <v>160</v>
      </c>
      <c r="J9" s="2" t="str">
        <f t="shared" si="0"/>
        <v>INSERT INTO Auth_Menu (ID,MenuID, ParentMenuID, MenuName, MenuIndex, ControllerName, Icon, IsVisible, XmlMeta) VALUES(N'2.3.1',N'Announcement', N'Master_Announcement', N'Tin nội bộ', N'1', N'Utilities_Announcement', N'', N'0', N'&lt;Root&gt;&lt;/Root&gt;')</v>
      </c>
    </row>
    <row r="10" spans="2:10" x14ac:dyDescent="0.25">
      <c r="B10" s="17" t="s">
        <v>156</v>
      </c>
      <c r="C10" s="17" t="s">
        <v>102</v>
      </c>
      <c r="D10" s="17" t="s">
        <v>159</v>
      </c>
      <c r="E10" s="19">
        <v>2</v>
      </c>
      <c r="F10" s="20" t="s">
        <v>156</v>
      </c>
      <c r="G10" s="20"/>
      <c r="H10" s="20">
        <v>0</v>
      </c>
      <c r="I10" s="19" t="s">
        <v>161</v>
      </c>
      <c r="J10" s="2" t="str">
        <f t="shared" si="0"/>
        <v>INSERT INTO Auth_Menu (ID,MenuID, ParentMenuID, MenuName, MenuIndex, ControllerName, Icon, IsVisible, XmlMeta) VALUES(N'2.3.2',N'GeneralNotification', N'Master_Announcement', N'Thông báo', N'2', N'GeneralNotification', N'', N'0', N'&lt;Root&gt;&lt;/Root&gt;')</v>
      </c>
    </row>
    <row r="11" spans="2:10" x14ac:dyDescent="0.25">
      <c r="B11" s="17" t="s">
        <v>103</v>
      </c>
      <c r="C11" s="18" t="s">
        <v>101</v>
      </c>
      <c r="D11" s="17" t="s">
        <v>117</v>
      </c>
      <c r="E11" s="19">
        <v>4</v>
      </c>
      <c r="F11" s="20" t="s">
        <v>106</v>
      </c>
      <c r="G11" s="20"/>
      <c r="H11" s="20">
        <v>0</v>
      </c>
      <c r="I11" s="19">
        <v>2.4</v>
      </c>
      <c r="J11" s="2" t="str">
        <f t="shared" si="0"/>
        <v>INSERT INTO Auth_Menu (ID,MenuID, ParentMenuID, MenuName, MenuIndex, ControllerName, Icon, IsVisible, XmlMeta) VALUES(N'2.4',N'Master_Holiday', N'Admin', N'Lịch làm việc', N'4', N'Utilities_Holiday', N'', N'0', N'&lt;Root&gt;&lt;/Root&gt;')</v>
      </c>
    </row>
    <row r="12" spans="2:10" x14ac:dyDescent="0.25">
      <c r="B12" s="17" t="s">
        <v>38</v>
      </c>
      <c r="C12" s="18" t="s">
        <v>101</v>
      </c>
      <c r="D12" s="17" t="s">
        <v>100</v>
      </c>
      <c r="E12" s="19">
        <v>5</v>
      </c>
      <c r="F12" s="20" t="s">
        <v>107</v>
      </c>
      <c r="G12" s="20"/>
      <c r="H12" s="20">
        <v>0</v>
      </c>
      <c r="I12" s="19">
        <v>2.5</v>
      </c>
      <c r="J12" s="2" t="str">
        <f t="shared" si="0"/>
        <v>INSERT INTO Auth_Menu (ID,MenuID, ParentMenuID, MenuName, MenuIndex, ControllerName, Icon, IsVisible, XmlMeta) VALUES(N'2.5',N'Master_Territory', N'Admin', N'Phân cấp vùng miền', N'5', N'Utilities_Territory', N'', N'0', N'&lt;Root&gt;&lt;/Root&gt;')</v>
      </c>
    </row>
    <row r="13" spans="2:10" x14ac:dyDescent="0.25">
      <c r="B13" s="17" t="s">
        <v>115</v>
      </c>
      <c r="C13" s="18" t="s">
        <v>101</v>
      </c>
      <c r="D13" s="17" t="s">
        <v>111</v>
      </c>
      <c r="E13" s="19">
        <v>6</v>
      </c>
      <c r="F13" s="20" t="s">
        <v>114</v>
      </c>
      <c r="G13" s="20"/>
      <c r="H13" s="20">
        <v>1</v>
      </c>
      <c r="I13" s="19">
        <v>2.6</v>
      </c>
      <c r="J13" s="2" t="str">
        <f t="shared" si="0"/>
        <v>INSERT INTO Auth_Menu (ID,MenuID, ParentMenuID, MenuName, MenuIndex, ControllerName, Icon, IsVisible, XmlMeta) VALUES(N'2.6',N'Master_Parameters', N'Admin', N'Cấu hình tham số', N'6', N'Utilities_Parameters', N'', N'1', N'&lt;Root&gt;&lt;/Root&gt;')</v>
      </c>
    </row>
    <row r="14" spans="2:10" x14ac:dyDescent="0.25">
      <c r="B14" s="17" t="s">
        <v>112</v>
      </c>
      <c r="C14" s="18" t="s">
        <v>101</v>
      </c>
      <c r="D14" s="17" t="s">
        <v>110</v>
      </c>
      <c r="E14" s="19">
        <v>7</v>
      </c>
      <c r="F14" s="20" t="s">
        <v>113</v>
      </c>
      <c r="G14" s="20"/>
      <c r="H14" s="20">
        <v>0</v>
      </c>
      <c r="I14" s="19">
        <v>2.7</v>
      </c>
      <c r="J14" s="2" t="str">
        <f t="shared" si="0"/>
        <v>INSERT INTO Auth_Menu (ID,MenuID, ParentMenuID, MenuName, MenuIndex, ControllerName, Icon, IsVisible, XmlMeta) VALUES(N'2.7',N'Master_Email', N'Admin', N'Cấu hình gửi mail', N'7', N'Utilities_Email', N'', N'0', N'&lt;Root&gt;&lt;/Root&gt;')</v>
      </c>
    </row>
    <row r="15" spans="2:10" ht="12.75" hidden="1" customHeight="1" x14ac:dyDescent="0.25">
      <c r="B15" s="15" t="s">
        <v>141</v>
      </c>
      <c r="C15" s="5"/>
      <c r="D15" s="15" t="s">
        <v>118</v>
      </c>
      <c r="E15" s="12">
        <v>3</v>
      </c>
      <c r="H15">
        <v>0</v>
      </c>
      <c r="I15">
        <v>3</v>
      </c>
      <c r="J15" s="2" t="str">
        <f t="shared" si="0"/>
        <v>INSERT INTO Auth_Menu (ID,MenuID, ParentMenuID, MenuName, MenuIndex, ControllerName, Icon, IsVisible, XmlMeta) VALUES(N'3',N'CompanyInfo', N'', N'Công ty', N'3', N'', N'', N'0', N'&lt;Root&gt;&lt;/Root&gt;')</v>
      </c>
    </row>
    <row r="16" spans="2:10" ht="12.75" hidden="1" customHeight="1" x14ac:dyDescent="0.25">
      <c r="B16" s="17" t="s">
        <v>119</v>
      </c>
      <c r="C16" s="18" t="s">
        <v>141</v>
      </c>
      <c r="D16" s="17" t="s">
        <v>118</v>
      </c>
      <c r="E16" s="19">
        <v>1</v>
      </c>
      <c r="F16" s="20" t="s">
        <v>119</v>
      </c>
      <c r="G16" s="20"/>
      <c r="H16">
        <v>0</v>
      </c>
      <c r="I16" s="19">
        <v>3.1</v>
      </c>
      <c r="J16" s="2" t="str">
        <f t="shared" si="0"/>
        <v>INSERT INTO Auth_Menu (ID,MenuID, ParentMenuID, MenuName, MenuIndex, ControllerName, Icon, IsVisible, XmlMeta) VALUES(N'3.1',N'Company', N'CompanyInfo', N'Công ty', N'1', N'Company', N'', N'0', N'&lt;Root&gt;&lt;/Root&gt;')</v>
      </c>
    </row>
    <row r="17" spans="1:10" ht="12.75" hidden="1" customHeight="1" x14ac:dyDescent="0.25">
      <c r="B17" s="13" t="s">
        <v>126</v>
      </c>
      <c r="C17" s="18" t="s">
        <v>141</v>
      </c>
      <c r="D17" s="13" t="s">
        <v>125</v>
      </c>
      <c r="E17" s="12">
        <f>E16+1</f>
        <v>2</v>
      </c>
      <c r="F17" t="s">
        <v>126</v>
      </c>
      <c r="H17">
        <v>0</v>
      </c>
      <c r="I17" s="12">
        <f>I16+0.1</f>
        <v>3.2</v>
      </c>
      <c r="J17" s="2" t="str">
        <f t="shared" si="0"/>
        <v>INSERT INTO Auth_Menu (ID,MenuID, ParentMenuID, MenuName, MenuIndex, ControllerName, Icon, IsVisible, XmlMeta) VALUES(N'3.2',N'Customer', N'CompanyInfo', N'Khách hàng', N'2', N'Customer', N'', N'0', N'&lt;Root&gt;&lt;/Root&gt;')</v>
      </c>
    </row>
    <row r="18" spans="1:10" ht="12.75" hidden="1" customHeight="1" x14ac:dyDescent="0.25">
      <c r="B18" s="17" t="s">
        <v>120</v>
      </c>
      <c r="C18" s="18" t="s">
        <v>141</v>
      </c>
      <c r="D18" s="17" t="s">
        <v>121</v>
      </c>
      <c r="E18" s="22">
        <f t="shared" ref="E18:E21" si="1">E17+1</f>
        <v>3</v>
      </c>
      <c r="F18" s="20" t="s">
        <v>120</v>
      </c>
      <c r="G18" s="20"/>
      <c r="H18">
        <v>0</v>
      </c>
      <c r="I18" s="12">
        <f t="shared" ref="I18:I21" si="2">I17+0.1</f>
        <v>3.3000000000000003</v>
      </c>
      <c r="J18" s="2" t="str">
        <f t="shared" si="0"/>
        <v>INSERT INTO Auth_Menu (ID,MenuID, ParentMenuID, MenuName, MenuIndex, ControllerName, Icon, IsVisible, XmlMeta) VALUES(N'3.3',N'Employee', N'CompanyInfo', N'Nhân viên', N'3', N'Employee', N'', N'0', N'&lt;Root&gt;&lt;/Root&gt;')</v>
      </c>
    </row>
    <row r="19" spans="1:10" ht="12.75" hidden="1" customHeight="1" x14ac:dyDescent="0.25">
      <c r="B19" s="17" t="s">
        <v>122</v>
      </c>
      <c r="C19" s="18" t="s">
        <v>141</v>
      </c>
      <c r="D19" s="17" t="s">
        <v>123</v>
      </c>
      <c r="E19" s="22">
        <f t="shared" si="1"/>
        <v>4</v>
      </c>
      <c r="F19" s="20" t="s">
        <v>122</v>
      </c>
      <c r="G19" s="20"/>
      <c r="H19">
        <v>0</v>
      </c>
      <c r="I19" s="12">
        <f t="shared" si="2"/>
        <v>3.4000000000000004</v>
      </c>
      <c r="J19" s="2" t="str">
        <f t="shared" si="0"/>
        <v>INSERT INTO Auth_Menu (ID,MenuID, ParentMenuID, MenuName, MenuIndex, ControllerName, Icon, IsVisible, XmlMeta) VALUES(N'3.4',N'WareHouse', N'CompanyInfo', N'Kho/bãi xe', N'4', N'WareHouse', N'', N'0', N'&lt;Root&gt;&lt;/Root&gt;')</v>
      </c>
    </row>
    <row r="20" spans="1:10" ht="12.75" hidden="1" customHeight="1" x14ac:dyDescent="0.25">
      <c r="A20" t="s">
        <v>135</v>
      </c>
      <c r="B20" s="13" t="s">
        <v>146</v>
      </c>
      <c r="C20" s="18" t="s">
        <v>141</v>
      </c>
      <c r="D20" s="13" t="s">
        <v>124</v>
      </c>
      <c r="E20" s="12">
        <f t="shared" si="1"/>
        <v>5</v>
      </c>
      <c r="F20" t="s">
        <v>146</v>
      </c>
      <c r="H20">
        <v>0</v>
      </c>
      <c r="I20" s="12">
        <f t="shared" si="2"/>
        <v>3.5000000000000004</v>
      </c>
      <c r="J20" s="2" t="str">
        <f t="shared" si="0"/>
        <v>INSERT INTO Auth_Menu (ID,MenuID, ParentMenuID, MenuName, MenuIndex, ControllerName, Icon, IsVisible, XmlMeta) VALUES(N'3.5',N'XeVanTai', N'CompanyInfo', N'Xe vận tải', N'5', N'XeVanTai', N'', N'0', N'&lt;Root&gt;&lt;/Root&gt;')</v>
      </c>
    </row>
    <row r="21" spans="1:10" ht="12.75" hidden="1" customHeight="1" x14ac:dyDescent="0.25">
      <c r="B21" s="13" t="s">
        <v>127</v>
      </c>
      <c r="C21" s="18" t="s">
        <v>141</v>
      </c>
      <c r="D21" s="13" t="s">
        <v>128</v>
      </c>
      <c r="E21" s="12">
        <f t="shared" si="1"/>
        <v>6</v>
      </c>
      <c r="F21" t="s">
        <v>149</v>
      </c>
      <c r="H21">
        <v>0</v>
      </c>
      <c r="I21" s="12">
        <f t="shared" si="2"/>
        <v>3.6000000000000005</v>
      </c>
      <c r="J21" s="2" t="str">
        <f t="shared" si="0"/>
        <v>INSERT INTO Auth_Menu (ID,MenuID, ParentMenuID, MenuName, MenuIndex, ControllerName, Icon, IsVisible, XmlMeta) VALUES(N'3.6',N'Region', N'CompanyInfo', N'Vùng miền', N'6', N'ManageRegion', N'', N'0', N'&lt;Root&gt;&lt;/Root&gt;')</v>
      </c>
    </row>
    <row r="22" spans="1:10" ht="12.75" hidden="1" customHeight="1" x14ac:dyDescent="0.25">
      <c r="B22" s="15" t="s">
        <v>142</v>
      </c>
      <c r="C22" s="5"/>
      <c r="D22" s="15" t="s">
        <v>175</v>
      </c>
      <c r="E22" s="12">
        <v>4</v>
      </c>
      <c r="H22">
        <v>0</v>
      </c>
      <c r="I22" s="12">
        <v>4</v>
      </c>
      <c r="J22" s="2" t="str">
        <f t="shared" si="0"/>
        <v>INSERT INTO Auth_Menu (ID,MenuID, ParentMenuID, MenuName, MenuIndex, ControllerName, Icon, IsVisible, XmlMeta) VALUES(N'4',N'CustomerInfo', N'', N'Dữ liệu hãng xe', N'4', N'', N'', N'0', N'&lt;Root&gt;&lt;/Root&gt;')</v>
      </c>
    </row>
    <row r="23" spans="1:10" ht="12.75" hidden="1" customHeight="1" x14ac:dyDescent="0.25">
      <c r="A23" s="21" t="s">
        <v>137</v>
      </c>
      <c r="B23" s="13" t="s">
        <v>133</v>
      </c>
      <c r="C23" s="5" t="s">
        <v>142</v>
      </c>
      <c r="D23" s="13" t="s">
        <v>176</v>
      </c>
      <c r="E23" s="12">
        <v>1</v>
      </c>
      <c r="F23" s="23" t="s">
        <v>133</v>
      </c>
      <c r="H23">
        <v>0</v>
      </c>
      <c r="I23" s="12">
        <f t="shared" ref="I23:I25" si="3">I22+0.1</f>
        <v>4.0999999999999996</v>
      </c>
      <c r="J23" s="2" t="str">
        <f t="shared" si="0"/>
        <v>INSERT INTO Auth_Menu (ID,MenuID, ParentMenuID, MenuName, MenuIndex, ControllerName, Icon, IsVisible, XmlMeta) VALUES(N'4.1',N'HangSXXe', N'CustomerInfo', N'Hãng xe', N'1', N'HangSXXe', N'', N'0', N'&lt;Root&gt;&lt;/Root&gt;')</v>
      </c>
    </row>
    <row r="24" spans="1:10" ht="12.75" hidden="1" customHeight="1" x14ac:dyDescent="0.25">
      <c r="B24" s="13" t="s">
        <v>132</v>
      </c>
      <c r="C24" s="5" t="s">
        <v>142</v>
      </c>
      <c r="D24" s="13" t="s">
        <v>131</v>
      </c>
      <c r="E24" s="12">
        <f t="shared" ref="E24:E25" si="4">E23+1</f>
        <v>2</v>
      </c>
      <c r="F24" s="24" t="s">
        <v>132</v>
      </c>
      <c r="H24">
        <v>0</v>
      </c>
      <c r="I24" s="12">
        <f t="shared" si="3"/>
        <v>4.1999999999999993</v>
      </c>
      <c r="J24" s="2" t="str">
        <f t="shared" si="0"/>
        <v>INSERT INTO Auth_Menu (ID,MenuID, ParentMenuID, MenuName, MenuIndex, ControllerName, Icon, IsVisible, XmlMeta) VALUES(N'4.2',N'DaiLy', N'CustomerInfo', N'Đại lý', N'2', N'DaiLy', N'', N'0', N'&lt;Root&gt;&lt;/Root&gt;')</v>
      </c>
    </row>
    <row r="25" spans="1:10" ht="12.75" hidden="1" customHeight="1" x14ac:dyDescent="0.25">
      <c r="B25" s="13" t="s">
        <v>134</v>
      </c>
      <c r="C25" s="5" t="s">
        <v>142</v>
      </c>
      <c r="D25" s="13" t="s">
        <v>155</v>
      </c>
      <c r="E25" s="12">
        <f t="shared" si="4"/>
        <v>3</v>
      </c>
      <c r="F25" s="23" t="s">
        <v>134</v>
      </c>
      <c r="H25">
        <v>0</v>
      </c>
      <c r="I25" s="12">
        <f t="shared" si="3"/>
        <v>4.2999999999999989</v>
      </c>
      <c r="J25" s="2" t="str">
        <f t="shared" si="0"/>
        <v>INSERT INTO Auth_Menu (ID,MenuID, ParentMenuID, MenuName, MenuIndex, ControllerName, Icon, IsVisible, XmlMeta) VALUES(N'4.3',N'LoaiXe', N'CustomerInfo', N'Loại Xe', N'3', N'LoaiXe', N'', N'0', N'&lt;Root&gt;&lt;/Root&gt;')</v>
      </c>
    </row>
    <row r="26" spans="1:10" ht="12.75" hidden="1" customHeight="1" x14ac:dyDescent="0.25">
      <c r="B26" s="15" t="s">
        <v>129</v>
      </c>
      <c r="C26" s="6"/>
      <c r="D26" s="15" t="s">
        <v>150</v>
      </c>
      <c r="E26" s="12">
        <v>5</v>
      </c>
      <c r="H26">
        <v>0</v>
      </c>
      <c r="I26" s="12">
        <v>5</v>
      </c>
      <c r="J26" s="2" t="str">
        <f t="shared" si="0"/>
        <v>INSERT INTO Auth_Menu (ID,MenuID, ParentMenuID, MenuName, MenuIndex, ControllerName, Icon, IsVisible, XmlMeta) VALUES(N'5',N'Management', N'', N'Quản lý vận tải', N'5', N'', N'', N'0', N'&lt;Root&gt;&lt;/Root&gt;')</v>
      </c>
    </row>
    <row r="27" spans="1:10" ht="12.75" hidden="1" customHeight="1" x14ac:dyDescent="0.25">
      <c r="A27" t="s">
        <v>136</v>
      </c>
      <c r="B27" s="13" t="s">
        <v>130</v>
      </c>
      <c r="C27" s="16" t="s">
        <v>129</v>
      </c>
      <c r="D27" s="13" t="s">
        <v>151</v>
      </c>
      <c r="E27" s="12">
        <v>1</v>
      </c>
      <c r="F27" t="s">
        <v>130</v>
      </c>
      <c r="H27">
        <v>0</v>
      </c>
      <c r="I27" s="12">
        <v>5.0999999999999996</v>
      </c>
      <c r="J27" s="2" t="str">
        <f t="shared" si="0"/>
        <v>INSERT INTO Auth_Menu (ID,MenuID, ParentMenuID, MenuName, MenuIndex, ControllerName, Icon, IsVisible, XmlMeta) VALUES(N'5.1',N'Contract', N'Management', N'Tạo yêu cầu vận tải', N'1', N'Contract', N'', N'0', N'&lt;Root&gt;&lt;/Root&gt;')</v>
      </c>
    </row>
    <row r="28" spans="1:10" ht="12.75" hidden="1" customHeight="1" x14ac:dyDescent="0.25">
      <c r="A28" t="s">
        <v>136</v>
      </c>
      <c r="B28" s="13" t="s">
        <v>144</v>
      </c>
      <c r="C28" s="16" t="s">
        <v>129</v>
      </c>
      <c r="D28" s="13" t="s">
        <v>152</v>
      </c>
      <c r="E28" s="12">
        <v>2</v>
      </c>
      <c r="F28" t="s">
        <v>144</v>
      </c>
      <c r="H28">
        <v>0</v>
      </c>
      <c r="I28" s="12">
        <v>5.2</v>
      </c>
      <c r="J28" s="2" t="str">
        <f t="shared" si="0"/>
        <v>INSERT INTO Auth_Menu (ID,MenuID, ParentMenuID, MenuName, MenuIndex, ControllerName, Icon, IsVisible, XmlMeta) VALUES(N'5.2',N'ViewContract', N'Management', N'Danh sách yêu cầu vận tải', N'2', N'ViewContract', N'', N'0', N'&lt;Root&gt;&lt;/Root&gt;')</v>
      </c>
    </row>
    <row r="29" spans="1:10" ht="12.75" hidden="1" customHeight="1" x14ac:dyDescent="0.25">
      <c r="B29" s="13" t="s">
        <v>143</v>
      </c>
      <c r="C29" s="16" t="s">
        <v>129</v>
      </c>
      <c r="D29" s="13" t="s">
        <v>153</v>
      </c>
      <c r="E29" s="12">
        <v>3</v>
      </c>
      <c r="F29" t="s">
        <v>143</v>
      </c>
      <c r="H29">
        <v>0</v>
      </c>
      <c r="I29" s="12">
        <v>5.3</v>
      </c>
      <c r="J29" s="2" t="str">
        <f t="shared" si="0"/>
        <v>INSERT INTO Auth_Menu (ID,MenuID, ParentMenuID, MenuName, MenuIndex, ControllerName, Icon, IsVisible, XmlMeta) VALUES(N'5.3',N'CreateOrderDetail', N'Management', N'Lệnh điều xe', N'3', N'CreateOrderDetail', N'', N'0', N'&lt;Root&gt;&lt;/Root&gt;')</v>
      </c>
    </row>
    <row r="30" spans="1:10" ht="12.75" hidden="1" customHeight="1" x14ac:dyDescent="0.25">
      <c r="B30" s="13" t="s">
        <v>145</v>
      </c>
      <c r="C30" s="16" t="s">
        <v>129</v>
      </c>
      <c r="D30" s="13" t="s">
        <v>154</v>
      </c>
      <c r="E30" s="12">
        <v>4</v>
      </c>
      <c r="F30" t="s">
        <v>145</v>
      </c>
      <c r="H30">
        <v>0</v>
      </c>
      <c r="I30" s="12">
        <v>5.4</v>
      </c>
      <c r="J30" s="2" t="str">
        <f t="shared" si="0"/>
        <v>INSERT INTO Auth_Menu (ID,MenuID, ParentMenuID, MenuName, MenuIndex, ControllerName, Icon, IsVisible, XmlMeta) VALUES(N'5.4',N'OrderDetail', N'Management', N'Danh sách lệnh điều xe', N'4', N'OrderDetail', N'', N'0', N'&lt;Root&gt;&lt;/Root&gt;')</v>
      </c>
    </row>
    <row r="31" spans="1:10" ht="12.75" hidden="1" customHeight="1" x14ac:dyDescent="0.25">
      <c r="B31" s="13" t="s">
        <v>178</v>
      </c>
      <c r="C31" s="16" t="s">
        <v>129</v>
      </c>
      <c r="D31" s="13" t="s">
        <v>177</v>
      </c>
      <c r="E31" s="12">
        <v>5</v>
      </c>
      <c r="F31" t="s">
        <v>178</v>
      </c>
      <c r="H31">
        <v>0</v>
      </c>
      <c r="I31" s="12">
        <v>5.5</v>
      </c>
      <c r="J31" s="2" t="str">
        <f t="shared" si="0"/>
        <v>INSERT INTO Auth_Menu (ID,MenuID, ParentMenuID, MenuName, MenuIndex, ControllerName, Icon, IsVisible, XmlMeta) VALUES(N'5.5',N'CapNhatTTCTLDX', N'Management', N'Cập nhật trạng thái lệnh điều xe', N'5', N'CapNhatTTCTLDX', N'', N'0', N'&lt;Root&gt;&lt;/Root&gt;')</v>
      </c>
    </row>
    <row r="32" spans="1:10" ht="12.75" hidden="1" customHeight="1" x14ac:dyDescent="0.25">
      <c r="B32" s="13" t="s">
        <v>148</v>
      </c>
      <c r="C32" s="16" t="s">
        <v>129</v>
      </c>
      <c r="D32" s="13" t="s">
        <v>147</v>
      </c>
      <c r="E32" s="12">
        <v>6</v>
      </c>
      <c r="F32" t="s">
        <v>148</v>
      </c>
      <c r="H32">
        <v>0</v>
      </c>
      <c r="I32" s="12">
        <v>5.6</v>
      </c>
      <c r="J32" s="2" t="str">
        <f t="shared" si="0"/>
        <v>INSERT INTO Auth_Menu (ID,MenuID, ParentMenuID, MenuName, MenuIndex, ControllerName, Icon, IsVisible, XmlMeta) VALUES(N'5.6',N'ViTriXeVanTai', N'Management', N'Theo dõi vị trí xe vận tải', N'6', N'ViTriXeVanTai', N'', N'0', N'&lt;Root&gt;&lt;/Root&gt;')</v>
      </c>
    </row>
    <row r="33" spans="1:10" ht="12.75" hidden="1" customHeight="1" x14ac:dyDescent="0.25">
      <c r="B33" s="13" t="s">
        <v>169</v>
      </c>
      <c r="C33" s="16" t="s">
        <v>129</v>
      </c>
      <c r="D33" s="13" t="s">
        <v>168</v>
      </c>
      <c r="E33" s="12">
        <v>7</v>
      </c>
      <c r="F33" t="s">
        <v>169</v>
      </c>
      <c r="H33">
        <v>0</v>
      </c>
      <c r="I33" s="12">
        <v>5.7</v>
      </c>
      <c r="J33" s="2" t="str">
        <f t="shared" si="0"/>
        <v>INSERT INTO Auth_Menu (ID,MenuID, ParentMenuID, MenuName, MenuIndex, ControllerName, Icon, IsVisible, XmlMeta) VALUES(N'5.7',N'XeVanTaiHistory', N'Management', N'Lịch sử vận tải', N'7', N'XeVanTaiHistory', N'', N'0', N'&lt;Root&gt;&lt;/Root&gt;')</v>
      </c>
    </row>
    <row r="34" spans="1:10" ht="12.75" hidden="1" customHeight="1" x14ac:dyDescent="0.25">
      <c r="B34" s="13" t="s">
        <v>172</v>
      </c>
      <c r="C34" s="16" t="s">
        <v>129</v>
      </c>
      <c r="D34" s="13" t="s">
        <v>171</v>
      </c>
      <c r="E34" s="12">
        <v>8</v>
      </c>
      <c r="F34" t="s">
        <v>172</v>
      </c>
      <c r="H34">
        <v>0</v>
      </c>
      <c r="I34" s="12">
        <v>5.8</v>
      </c>
      <c r="J34" s="2" t="str">
        <f t="shared" si="0"/>
        <v>INSERT INTO Auth_Menu (ID,MenuID, ParentMenuID, MenuName, MenuIndex, ControllerName, Icon, IsVisible, XmlMeta) VALUES(N'5.8',N'DeliveryConfigTime', N'Management', N'Cấu hình thời gian giao xe', N'8', N'DeliveryConfigTime', N'', N'0', N'&lt;Root&gt;&lt;/Root&gt;')</v>
      </c>
    </row>
    <row r="35" spans="1:10" ht="12.75" hidden="1" customHeight="1" x14ac:dyDescent="0.25">
      <c r="B35" s="15" t="s">
        <v>174</v>
      </c>
      <c r="C35" s="6"/>
      <c r="D35" s="15" t="s">
        <v>164</v>
      </c>
      <c r="E35" s="12">
        <v>6</v>
      </c>
      <c r="H35">
        <v>0</v>
      </c>
      <c r="I35" s="12">
        <v>6</v>
      </c>
      <c r="J35" s="2" t="str">
        <f t="shared" si="0"/>
        <v>INSERT INTO Auth_Menu (ID,MenuID, ParentMenuID, MenuName, MenuIndex, ControllerName, Icon, IsVisible, XmlMeta) VALUES(N'6',N'StockManagement', N'', N'Quản lý kho', N'6', N'', N'', N'0', N'&lt;Root&gt;&lt;/Root&gt;')</v>
      </c>
    </row>
    <row r="36" spans="1:10" ht="12.75" hidden="1" customHeight="1" x14ac:dyDescent="0.25">
      <c r="A36" t="s">
        <v>136</v>
      </c>
      <c r="B36" s="13" t="s">
        <v>162</v>
      </c>
      <c r="C36" s="16" t="s">
        <v>174</v>
      </c>
      <c r="D36" s="13" t="s">
        <v>165</v>
      </c>
      <c r="E36" s="12">
        <v>1</v>
      </c>
      <c r="F36" t="s">
        <v>162</v>
      </c>
      <c r="H36">
        <v>0</v>
      </c>
      <c r="I36" s="12">
        <v>6.1</v>
      </c>
      <c r="J36" s="2" t="str">
        <f t="shared" si="0"/>
        <v>INSERT INTO Auth_Menu (ID,MenuID, ParentMenuID, MenuName, MenuIndex, ControllerName, Icon, IsVisible, XmlMeta) VALUES(N'6.1',N'StockIn', N'StockManagement', N'Nhập kho', N'1', N'StockIn', N'', N'0', N'&lt;Root&gt;&lt;/Root&gt;')</v>
      </c>
    </row>
    <row r="37" spans="1:10" ht="12.75" hidden="1" customHeight="1" x14ac:dyDescent="0.25">
      <c r="A37" t="s">
        <v>136</v>
      </c>
      <c r="B37" s="13" t="s">
        <v>163</v>
      </c>
      <c r="C37" s="16" t="s">
        <v>174</v>
      </c>
      <c r="D37" s="13" t="s">
        <v>166</v>
      </c>
      <c r="E37" s="12">
        <v>2</v>
      </c>
      <c r="F37" t="s">
        <v>163</v>
      </c>
      <c r="H37">
        <v>0</v>
      </c>
      <c r="I37" s="12">
        <v>6.2</v>
      </c>
      <c r="J37" s="2" t="str">
        <f t="shared" si="0"/>
        <v>INSERT INTO Auth_Menu (ID,MenuID, ParentMenuID, MenuName, MenuIndex, ControllerName, Icon, IsVisible, XmlMeta) VALUES(N'6.2',N'StockOut', N'StockManagement', N'Xuất kho', N'2', N'StockOut', N'', N'0', N'&lt;Root&gt;&lt;/Root&gt;')</v>
      </c>
    </row>
    <row r="38" spans="1:10" ht="12.75" hidden="1" customHeight="1" x14ac:dyDescent="0.25">
      <c r="B38" s="13" t="s">
        <v>170</v>
      </c>
      <c r="C38" s="16" t="s">
        <v>174</v>
      </c>
      <c r="D38" s="13" t="s">
        <v>167</v>
      </c>
      <c r="E38" s="12">
        <v>3</v>
      </c>
      <c r="F38" t="s">
        <v>170</v>
      </c>
      <c r="H38">
        <v>0</v>
      </c>
      <c r="I38" s="12">
        <v>6.3</v>
      </c>
      <c r="J38" s="2" t="str">
        <f t="shared" si="0"/>
        <v>INSERT INTO Auth_Menu (ID,MenuID, ParentMenuID, MenuName, MenuIndex, ControllerName, Icon, IsVisible, XmlMeta) VALUES(N'6.3',N'StockCardDetail', N'StockManagement', N'Thẻ kho chi tiết', N'3', N'StockCardDetail', N'', N'0', N'&lt;Root&gt;&lt;/Root&gt;')</v>
      </c>
    </row>
    <row r="39" spans="1:10" x14ac:dyDescent="0.25">
      <c r="B39" s="15" t="s">
        <v>180</v>
      </c>
      <c r="D39" s="15" t="s">
        <v>179</v>
      </c>
      <c r="E39" s="12">
        <v>3</v>
      </c>
      <c r="H39">
        <v>1</v>
      </c>
      <c r="I39" s="12">
        <v>3</v>
      </c>
      <c r="J39" s="2" t="str">
        <f t="shared" si="0"/>
        <v>INSERT INTO Auth_Menu (ID,MenuID, ParentMenuID, MenuName, MenuIndex, ControllerName, Icon, IsVisible, XmlMeta) VALUES(N'3',N'DocumentManagement', N'', N'Quản lý hồ sơ', N'3', N'', N'', N'1', N'&lt;Root&gt;&lt;/Root&gt;')</v>
      </c>
    </row>
    <row r="40" spans="1:10" x14ac:dyDescent="0.25">
      <c r="B40" s="13" t="s">
        <v>186</v>
      </c>
      <c r="C40" s="16" t="s">
        <v>180</v>
      </c>
      <c r="D40" s="13" t="s">
        <v>187</v>
      </c>
      <c r="E40" s="12">
        <v>1</v>
      </c>
      <c r="F40" t="s">
        <v>186</v>
      </c>
      <c r="H40">
        <v>1</v>
      </c>
      <c r="I40" s="12">
        <v>3.1</v>
      </c>
      <c r="J40" s="2" t="str">
        <f t="shared" si="0"/>
        <v>INSERT INTO Auth_Menu (ID,MenuID, ParentMenuID, MenuName, MenuIndex, ControllerName, Icon, IsVisible, XmlMeta) VALUES(N'3.1',N'Sideboard', N'DocumentManagement', N'Danh mục các tủ', N'1', N'Sideboard', N'', N'1', N'&lt;Root&gt;&lt;/Root&gt;')</v>
      </c>
    </row>
    <row r="41" spans="1:10" x14ac:dyDescent="0.25">
      <c r="B41" s="13" t="s">
        <v>209</v>
      </c>
      <c r="C41" s="16" t="s">
        <v>180</v>
      </c>
      <c r="D41" s="13" t="s">
        <v>208</v>
      </c>
      <c r="E41" s="12">
        <v>2</v>
      </c>
      <c r="F41" t="s">
        <v>209</v>
      </c>
      <c r="H41">
        <v>1</v>
      </c>
      <c r="I41" s="12">
        <v>3.2</v>
      </c>
      <c r="J41" s="2" t="str">
        <f t="shared" si="0"/>
        <v>INSERT INTO Auth_Menu (ID,MenuID, ParentMenuID, MenuName, MenuIndex, ControllerName, Icon, IsVisible, XmlMeta) VALUES(N'3.2',N'GroupDocument', N'DocumentManagement', N'Danh mục nhóm văn bản', N'2', N'GroupDocument', N'', N'1', N'&lt;Root&gt;&lt;/Root&gt;')</v>
      </c>
    </row>
    <row r="42" spans="1:10" x14ac:dyDescent="0.25">
      <c r="B42" s="13" t="s">
        <v>181</v>
      </c>
      <c r="C42" s="16" t="s">
        <v>180</v>
      </c>
      <c r="D42" s="13" t="s">
        <v>188</v>
      </c>
      <c r="E42" s="12">
        <v>3</v>
      </c>
      <c r="F42" t="s">
        <v>181</v>
      </c>
      <c r="H42">
        <v>1</v>
      </c>
      <c r="I42" s="12">
        <v>3.3</v>
      </c>
      <c r="J42" s="2" t="str">
        <f t="shared" si="0"/>
        <v>INSERT INTO Auth_Menu (ID,MenuID, ParentMenuID, MenuName, MenuIndex, ControllerName, Icon, IsVisible, XmlMeta) VALUES(N'3.3',N'CategoryConfig', N'DocumentManagement', N'Phân loại văn bản', N'3', N'CategoryConfig', N'', N'1', N'&lt;Root&gt;&lt;/Root&gt;')</v>
      </c>
    </row>
    <row r="43" spans="1:10" x14ac:dyDescent="0.25">
      <c r="B43" s="13" t="s">
        <v>182</v>
      </c>
      <c r="C43" s="16" t="s">
        <v>180</v>
      </c>
      <c r="D43" s="13" t="s">
        <v>189</v>
      </c>
      <c r="E43" s="12">
        <v>4</v>
      </c>
      <c r="F43" t="s">
        <v>182</v>
      </c>
      <c r="H43">
        <v>1</v>
      </c>
      <c r="I43" s="12">
        <v>3.4</v>
      </c>
      <c r="J43" s="2" t="str">
        <f t="shared" si="0"/>
        <v>INSERT INTO Auth_Menu (ID,MenuID, ParentMenuID, MenuName, MenuIndex, ControllerName, Icon, IsVisible, XmlMeta) VALUES(N'3.4',N'Document', N'DocumentManagement', N'Lưu trữ văn bản', N'4', N'Document', N'', N'1', N'&lt;Root&gt;&lt;/Root&gt;')</v>
      </c>
    </row>
    <row r="44" spans="1:10" x14ac:dyDescent="0.25">
      <c r="B44" s="15" t="s">
        <v>191</v>
      </c>
      <c r="C44" s="16"/>
      <c r="D44" s="15" t="s">
        <v>192</v>
      </c>
      <c r="E44" s="12">
        <v>4</v>
      </c>
      <c r="H44">
        <v>1</v>
      </c>
      <c r="I44" s="12">
        <v>4</v>
      </c>
      <c r="J44" s="2" t="str">
        <f t="shared" si="0"/>
        <v>INSERT INTO Auth_Menu (ID,MenuID, ParentMenuID, MenuName, MenuIndex, ControllerName, Icon, IsVisible, XmlMeta) VALUES(N'4',N'ProductManagement', N'', N'Quản lý sản phẩm', N'4', N'', N'', N'1', N'&lt;Root&gt;&lt;/Root&gt;')</v>
      </c>
    </row>
    <row r="45" spans="1:10" x14ac:dyDescent="0.25">
      <c r="B45" s="13" t="s">
        <v>193</v>
      </c>
      <c r="C45" s="16" t="s">
        <v>191</v>
      </c>
      <c r="D45" s="13" t="s">
        <v>185</v>
      </c>
      <c r="E45" s="12">
        <v>1</v>
      </c>
      <c r="F45" t="s">
        <v>193</v>
      </c>
      <c r="H45">
        <v>1</v>
      </c>
      <c r="I45" s="12">
        <v>4.0999999999999996</v>
      </c>
      <c r="J45" s="2" t="str">
        <f t="shared" si="0"/>
        <v>INSERT INTO Auth_Menu (ID,MenuID, ParentMenuID, MenuName, MenuIndex, ControllerName, Icon, IsVisible, XmlMeta) VALUES(N'4.1',N'LightHeadOne', N'ProductManagement', N'Trụ đèn', N'1', N'LightHeadOne', N'', N'1', N'&lt;Root&gt;&lt;/Root&gt;')</v>
      </c>
    </row>
    <row r="46" spans="1:10" x14ac:dyDescent="0.25">
      <c r="B46" s="13" t="s">
        <v>194</v>
      </c>
      <c r="C46" s="16" t="s">
        <v>191</v>
      </c>
      <c r="D46" s="13" t="s">
        <v>195</v>
      </c>
      <c r="E46" s="12">
        <v>2</v>
      </c>
      <c r="F46" t="s">
        <v>194</v>
      </c>
      <c r="H46">
        <v>1</v>
      </c>
      <c r="I46" s="12">
        <v>4.2</v>
      </c>
      <c r="J46" s="2" t="str">
        <f t="shared" si="0"/>
        <v>INSERT INTO Auth_Menu (ID,MenuID, ParentMenuID, MenuName, MenuIndex, ControllerName, Icon, IsVisible, XmlMeta) VALUES(N'4.2',N'LightHeadTwo', N'ProductManagement', N'Trụ đèn - Danh mục nhóm 2', N'2', N'LightHeadTwo', N'', N'1', N'&lt;Root&gt;&lt;/Root&gt;')</v>
      </c>
    </row>
    <row r="47" spans="1:10" x14ac:dyDescent="0.25">
      <c r="B47" s="13" t="s">
        <v>196</v>
      </c>
      <c r="C47" s="16" t="s">
        <v>191</v>
      </c>
      <c r="D47" s="13" t="s">
        <v>197</v>
      </c>
      <c r="E47" s="12">
        <v>3</v>
      </c>
      <c r="F47" t="s">
        <v>196</v>
      </c>
      <c r="H47">
        <v>1</v>
      </c>
      <c r="I47" s="12">
        <v>4.3</v>
      </c>
      <c r="J47" s="2" t="str">
        <f t="shared" si="0"/>
        <v>INSERT INTO Auth_Menu (ID,MenuID, ParentMenuID, MenuName, MenuIndex, ControllerName, Icon, IsVisible, XmlMeta) VALUES(N'4.3',N'FoundationBoltOne', N'ProductManagement', N'Bu-long móng', N'3', N'FoundationBoltOne', N'', N'1', N'&lt;Root&gt;&lt;/Root&gt;')</v>
      </c>
    </row>
    <row r="48" spans="1:10" x14ac:dyDescent="0.25">
      <c r="B48" s="13" t="s">
        <v>198</v>
      </c>
      <c r="C48" s="16" t="s">
        <v>191</v>
      </c>
      <c r="D48" s="13" t="s">
        <v>199</v>
      </c>
      <c r="E48" s="12">
        <v>4</v>
      </c>
      <c r="F48" t="s">
        <v>198</v>
      </c>
      <c r="H48">
        <v>1</v>
      </c>
      <c r="I48" s="12">
        <v>4.4000000000000004</v>
      </c>
      <c r="J48" s="2" t="str">
        <f t="shared" si="0"/>
        <v>INSERT INTO Auth_Menu (ID,MenuID, ParentMenuID, MenuName, MenuIndex, ControllerName, Icon, IsVisible, XmlMeta) VALUES(N'4.4',N'FoundationBoltTwo', N'ProductManagement', N'Bu-long móng - Danh mục nhóm 2', N'4', N'FoundationBoltTwo', N'', N'1', N'&lt;Root&gt;&lt;/Root&gt;')</v>
      </c>
    </row>
    <row r="49" spans="2:10" x14ac:dyDescent="0.25">
      <c r="B49" s="13" t="s">
        <v>200</v>
      </c>
      <c r="C49" s="16" t="s">
        <v>191</v>
      </c>
      <c r="D49" s="13" t="s">
        <v>201</v>
      </c>
      <c r="E49" s="12">
        <v>5</v>
      </c>
      <c r="F49" t="s">
        <v>200</v>
      </c>
      <c r="H49">
        <v>1</v>
      </c>
      <c r="I49" s="12">
        <v>4.5</v>
      </c>
      <c r="J49" s="2" t="str">
        <f t="shared" si="0"/>
        <v>INSERT INTO Auth_Menu (ID,MenuID, ParentMenuID, MenuName, MenuIndex, ControllerName, Icon, IsVisible, XmlMeta) VALUES(N'4.5',N'RodOne', N'ProductManagement', N'Cần đèn', N'5', N'RodOne', N'', N'1', N'&lt;Root&gt;&lt;/Root&gt;')</v>
      </c>
    </row>
    <row r="50" spans="2:10" x14ac:dyDescent="0.25">
      <c r="B50" s="13" t="s">
        <v>202</v>
      </c>
      <c r="C50" s="16" t="s">
        <v>191</v>
      </c>
      <c r="D50" s="13" t="s">
        <v>203</v>
      </c>
      <c r="E50" s="12">
        <v>6</v>
      </c>
      <c r="F50" t="s">
        <v>202</v>
      </c>
      <c r="H50">
        <v>1</v>
      </c>
      <c r="I50" s="12">
        <v>4.5999999999999996</v>
      </c>
      <c r="J50" s="2" t="str">
        <f t="shared" si="0"/>
        <v>INSERT INTO Auth_Menu (ID,MenuID, ParentMenuID, MenuName, MenuIndex, ControllerName, Icon, IsVisible, XmlMeta) VALUES(N'4.6',N'RodTwo', N'ProductManagement', N'Cần đèn - Danh mục nhóm 2', N'6', N'RodTwo', N'', N'1', N'&lt;Root&gt;&lt;/Root&gt;')</v>
      </c>
    </row>
    <row r="51" spans="2:10" x14ac:dyDescent="0.25">
      <c r="B51" s="13" t="s">
        <v>204</v>
      </c>
      <c r="C51" s="16" t="s">
        <v>191</v>
      </c>
      <c r="D51" s="13" t="s">
        <v>205</v>
      </c>
      <c r="E51" s="12">
        <v>7</v>
      </c>
      <c r="F51" t="s">
        <v>204</v>
      </c>
      <c r="H51">
        <v>1</v>
      </c>
      <c r="I51" s="12">
        <v>4.7</v>
      </c>
      <c r="J51" s="2" t="str">
        <f t="shared" si="0"/>
        <v>INSERT INTO Auth_Menu (ID,MenuID, ParentMenuID, MenuName, MenuIndex, ControllerName, Icon, IsVisible, XmlMeta) VALUES(N'4.7',N'RequestProduct', N'ProductManagement', N'Yêu cầu thêm mới', N'7', N'RequestProduct', N'', N'1', N'&lt;Root&gt;&lt;/Root&gt;')</v>
      </c>
    </row>
    <row r="52" spans="2:10" x14ac:dyDescent="0.25">
      <c r="B52" s="15" t="s">
        <v>183</v>
      </c>
      <c r="D52" s="13" t="s">
        <v>190</v>
      </c>
      <c r="E52" s="12">
        <v>5</v>
      </c>
      <c r="H52">
        <v>1</v>
      </c>
      <c r="I52" s="12">
        <v>5</v>
      </c>
      <c r="J52" s="2" t="str">
        <f t="shared" si="0"/>
        <v>INSERT INTO Auth_Menu (ID,MenuID, ParentMenuID, MenuName, MenuIndex, ControllerName, Icon, IsVisible, XmlMeta) VALUES(N'5',N'Search', N'', N'Tra cứu sản phẩm', N'5', N'', N'', N'1', N'&lt;Root&gt;&lt;/Root&gt;')</v>
      </c>
    </row>
    <row r="53" spans="2:10" x14ac:dyDescent="0.25">
      <c r="B53" s="13" t="s">
        <v>184</v>
      </c>
      <c r="C53" s="16" t="s">
        <v>183</v>
      </c>
      <c r="D53" s="13" t="s">
        <v>185</v>
      </c>
      <c r="E53" s="12">
        <v>1</v>
      </c>
      <c r="F53" t="s">
        <v>184</v>
      </c>
      <c r="H53">
        <v>1</v>
      </c>
      <c r="I53" s="12">
        <v>5.0999999999999996</v>
      </c>
      <c r="J53" s="2" t="str">
        <f t="shared" si="0"/>
        <v>INSERT INTO Auth_Menu (ID,MenuID, ParentMenuID, MenuName, MenuIndex, ControllerName, Icon, IsVisible, XmlMeta) VALUES(N'5.1',N'SearchLightHead', N'Search', N'Trụ đèn', N'1', N'SearchLightHead', N'', N'1', N'&lt;Root&gt;&lt;/Root&gt;')</v>
      </c>
    </row>
    <row r="54" spans="2:10" x14ac:dyDescent="0.25">
      <c r="B54" s="13" t="s">
        <v>206</v>
      </c>
      <c r="C54" s="16" t="s">
        <v>183</v>
      </c>
      <c r="D54" s="13" t="s">
        <v>197</v>
      </c>
      <c r="E54" s="12">
        <v>2</v>
      </c>
      <c r="F54" t="s">
        <v>206</v>
      </c>
      <c r="H54">
        <v>1</v>
      </c>
      <c r="I54" s="12">
        <v>5.2</v>
      </c>
      <c r="J54" s="2" t="str">
        <f t="shared" si="0"/>
        <v>INSERT INTO Auth_Menu (ID,MenuID, ParentMenuID, MenuName, MenuIndex, ControllerName, Icon, IsVisible, XmlMeta) VALUES(N'5.2',N'SearchFoundationBolt', N'Search', N'Bu-long móng', N'2', N'SearchFoundationBolt', N'', N'1', N'&lt;Root&gt;&lt;/Root&gt;')</v>
      </c>
    </row>
    <row r="55" spans="2:10" x14ac:dyDescent="0.25">
      <c r="B55" s="13" t="s">
        <v>207</v>
      </c>
      <c r="C55" s="16" t="s">
        <v>183</v>
      </c>
      <c r="D55" s="13" t="s">
        <v>201</v>
      </c>
      <c r="E55" s="12">
        <v>3</v>
      </c>
      <c r="F55" t="s">
        <v>207</v>
      </c>
      <c r="H55">
        <v>1</v>
      </c>
      <c r="I55" s="12">
        <v>5.3</v>
      </c>
      <c r="J55" s="2" t="str">
        <f t="shared" si="0"/>
        <v>INSERT INTO Auth_Menu (ID,MenuID, ParentMenuID, MenuName, MenuIndex, ControllerName, Icon, IsVisible, XmlMeta) VALUES(N'5.3',N'SearchRod', N'Search', N'Cần đèn', N'3', N'SearchRod', N'', N'1', N'&lt;Root&gt;&lt;/Root&gt;')</v>
      </c>
    </row>
  </sheetData>
  <hyperlinks>
    <hyperlink ref="D1" location="'Sheet List'!A1" display="back to list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showGridLines="0" workbookViewId="0">
      <selection activeCell="F3" sqref="F3:F4"/>
    </sheetView>
  </sheetViews>
  <sheetFormatPr defaultRowHeight="13.2" x14ac:dyDescent="0.25"/>
  <cols>
    <col min="1" max="1" width="19.33203125" bestFit="1" customWidth="1"/>
    <col min="2" max="5" width="15.6640625" customWidth="1"/>
    <col min="6" max="6" width="100.6640625" style="2" customWidth="1"/>
  </cols>
  <sheetData>
    <row r="1" spans="1:6" x14ac:dyDescent="0.25">
      <c r="A1" s="1" t="s">
        <v>4</v>
      </c>
      <c r="B1" s="3" t="s">
        <v>23</v>
      </c>
      <c r="C1" s="11" t="s">
        <v>49</v>
      </c>
      <c r="D1" s="3"/>
      <c r="E1" s="3"/>
      <c r="F1"/>
    </row>
    <row r="2" spans="1:6" x14ac:dyDescent="0.25">
      <c r="F2"/>
    </row>
    <row r="3" spans="1:6" x14ac:dyDescent="0.25">
      <c r="A3" s="4" t="s">
        <v>0</v>
      </c>
      <c r="B3" s="4" t="s">
        <v>36</v>
      </c>
      <c r="C3" s="4" t="s">
        <v>12</v>
      </c>
      <c r="D3" s="4" t="s">
        <v>24</v>
      </c>
      <c r="E3" s="4" t="s">
        <v>14</v>
      </c>
      <c r="F3" s="2" t="str">
        <f>"DELETE "&amp;$B$1</f>
        <v>DELETE Auth_Action</v>
      </c>
    </row>
    <row r="4" spans="1:6" ht="224.4" x14ac:dyDescent="0.25">
      <c r="F4" s="14" t="s">
        <v>108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showGridLines="0" workbookViewId="0">
      <selection activeCell="C4" sqref="C4"/>
    </sheetView>
  </sheetViews>
  <sheetFormatPr defaultRowHeight="13.2" x14ac:dyDescent="0.25"/>
  <cols>
    <col min="1" max="1" width="15.6640625" customWidth="1"/>
    <col min="2" max="2" width="16.88671875" bestFit="1" customWidth="1"/>
    <col min="3" max="3" width="100.6640625" style="2" customWidth="1"/>
  </cols>
  <sheetData>
    <row r="1" spans="1:3" x14ac:dyDescent="0.25">
      <c r="A1" s="1" t="s">
        <v>4</v>
      </c>
      <c r="B1" s="3" t="s">
        <v>22</v>
      </c>
      <c r="C1" s="11" t="s">
        <v>49</v>
      </c>
    </row>
    <row r="2" spans="1:3" x14ac:dyDescent="0.25">
      <c r="C2"/>
    </row>
    <row r="3" spans="1:3" x14ac:dyDescent="0.25">
      <c r="A3" s="4" t="s">
        <v>16</v>
      </c>
      <c r="B3" s="4" t="s">
        <v>12</v>
      </c>
      <c r="C3" s="2" t="str">
        <f>"DELETE "&amp;$B$1</f>
        <v>DELETE Auth_UserInRole</v>
      </c>
    </row>
    <row r="4" spans="1:3" x14ac:dyDescent="0.25">
      <c r="A4" t="s">
        <v>21</v>
      </c>
      <c r="B4">
        <v>1</v>
      </c>
      <c r="C4" s="2" t="str">
        <f>"INSERT INTO "&amp;$B$1&amp;" ("&amp;$A$3&amp;", "&amp;$B$3&amp;", XmlMeta) VALUES(N'"&amp;A4&amp;"', N'"&amp;B4&amp;"', N'&lt;Root&gt;&lt;/Root&gt;')"</f>
        <v>INSERT INTO Auth_UserInRole (UserID, RoleID, XmlMeta) VALUES(N'administrator', N'1',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showGridLines="0" workbookViewId="0">
      <selection activeCell="E16" sqref="E16"/>
    </sheetView>
  </sheetViews>
  <sheetFormatPr defaultRowHeight="13.2" x14ac:dyDescent="0.25"/>
  <cols>
    <col min="1" max="1" width="15.6640625" customWidth="1"/>
    <col min="2" max="2" width="18" bestFit="1" customWidth="1"/>
    <col min="3" max="3" width="15.6640625" customWidth="1"/>
    <col min="4" max="4" width="27.109375" bestFit="1" customWidth="1"/>
    <col min="5" max="5" width="100.6640625" style="2" customWidth="1"/>
  </cols>
  <sheetData>
    <row r="1" spans="1:5" x14ac:dyDescent="0.25">
      <c r="A1" s="1" t="s">
        <v>4</v>
      </c>
      <c r="B1" s="3" t="s">
        <v>93</v>
      </c>
      <c r="C1" s="11" t="s">
        <v>49</v>
      </c>
      <c r="D1" s="3"/>
      <c r="E1"/>
    </row>
    <row r="2" spans="1:5" x14ac:dyDescent="0.25">
      <c r="E2"/>
    </row>
    <row r="3" spans="1:5" x14ac:dyDescent="0.25">
      <c r="A3" s="4" t="s">
        <v>94</v>
      </c>
      <c r="B3" s="4" t="s">
        <v>95</v>
      </c>
      <c r="C3" s="4" t="s">
        <v>96</v>
      </c>
      <c r="D3" s="4" t="s">
        <v>89</v>
      </c>
      <c r="E3" s="2" t="str">
        <f>"DELETE "&amp;$B$1</f>
        <v>DELETE Config_Parameter</v>
      </c>
    </row>
    <row r="4" spans="1:5" x14ac:dyDescent="0.25">
      <c r="A4" s="8" t="s">
        <v>97</v>
      </c>
      <c r="B4">
        <v>10</v>
      </c>
      <c r="C4" t="s">
        <v>99</v>
      </c>
      <c r="D4" t="s">
        <v>98</v>
      </c>
      <c r="E4" s="2" t="str">
        <f>"INSERT INTO "&amp;$B$1&amp;" ("&amp;$A$3&amp;", "&amp;$B$3&amp;", "&amp;$C$3&amp;", "&amp;$D$3&amp;", XmlMeta) VALUES(N'"&amp;A4&amp;"', N'"&amp;B4&amp;"', N'"&amp;C4&amp;"', N'"&amp;D4&amp;"', N'&lt;Root&gt;&lt;/Root&gt;')"</f>
        <v>INSERT INTO Config_Parameter (ParamID, ParamValue, ParamGroup, Description, XmlMeta) VALUES(N'PO_VAT', N'10', N'Procurement', N'Thuế suất GTGT đơn hàng mua', N'&lt;Root&gt;&lt;/Root&gt;')</v>
      </c>
    </row>
    <row r="5" spans="1:5" x14ac:dyDescent="0.25">
      <c r="A5" s="8"/>
    </row>
    <row r="6" spans="1:5" x14ac:dyDescent="0.25">
      <c r="A6" s="8"/>
    </row>
    <row r="7" spans="1:5" x14ac:dyDescent="0.25">
      <c r="A7" s="8"/>
    </row>
    <row r="8" spans="1:5" x14ac:dyDescent="0.25">
      <c r="A8" s="8"/>
    </row>
  </sheetData>
  <hyperlinks>
    <hyperlink ref="C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showGridLines="0" workbookViewId="0">
      <selection activeCell="B2" sqref="B2"/>
    </sheetView>
  </sheetViews>
  <sheetFormatPr defaultRowHeight="13.2" x14ac:dyDescent="0.25"/>
  <cols>
    <col min="1" max="1" width="15.6640625" customWidth="1"/>
    <col min="2" max="2" width="22.33203125" bestFit="1" customWidth="1"/>
    <col min="3" max="4" width="15.6640625" customWidth="1"/>
    <col min="5" max="5" width="100.6640625" style="2" customWidth="1"/>
  </cols>
  <sheetData>
    <row r="1" spans="1:5" x14ac:dyDescent="0.25">
      <c r="A1" s="1" t="s">
        <v>4</v>
      </c>
      <c r="B1" s="3" t="s">
        <v>102</v>
      </c>
      <c r="C1" s="11" t="s">
        <v>49</v>
      </c>
      <c r="D1" s="3"/>
      <c r="E1"/>
    </row>
    <row r="2" spans="1:5" x14ac:dyDescent="0.25">
      <c r="E2"/>
    </row>
    <row r="3" spans="1:5" x14ac:dyDescent="0.25">
      <c r="A3" s="4" t="s">
        <v>37</v>
      </c>
      <c r="B3" s="4" t="s">
        <v>82</v>
      </c>
      <c r="C3" s="4" t="s">
        <v>83</v>
      </c>
      <c r="D3" s="4" t="s">
        <v>15</v>
      </c>
      <c r="E3" s="2" t="str">
        <f>"DELETE "&amp;$B$1</f>
        <v>DELETE Master_Announcement</v>
      </c>
    </row>
    <row r="4" spans="1:5" x14ac:dyDescent="0.25">
      <c r="A4" s="8" t="s">
        <v>84</v>
      </c>
      <c r="D4">
        <v>1</v>
      </c>
      <c r="E4" s="2" t="str">
        <f>"INSERT INTO "&amp;$B$1&amp;" ("&amp;$A$3&amp;", "&amp;$B$3&amp;", "&amp;$C$3&amp;", "&amp;$D$3&amp;", XmlMeta) VALUES(N'"&amp;A4&amp;"', N'"&amp;B4&amp;"', N'"&amp;C4&amp;"', N'"&amp;D4&amp;"', N'&lt;Root&gt;&lt;/Root&gt;')"</f>
        <v>INSERT INTO Master_Announcement (Title, HTMLContent, TextContent, IsActive, XmlMeta) VALUES(N'Announcement 001', N'', N'', N'1', N'&lt;Root&gt;&lt;/Root&gt;')</v>
      </c>
    </row>
    <row r="5" spans="1:5" x14ac:dyDescent="0.25">
      <c r="A5" s="8" t="s">
        <v>85</v>
      </c>
      <c r="D5">
        <v>1</v>
      </c>
      <c r="E5" s="2" t="str">
        <f t="shared" ref="E5:E8" si="0">"INSERT INTO "&amp;$B$1&amp;" ("&amp;$A$3&amp;", "&amp;$B$3&amp;", "&amp;$C$3&amp;", "&amp;$D$3&amp;", XmlMeta) VALUES(N'"&amp;A5&amp;"', N'"&amp;B5&amp;"', N'"&amp;C5&amp;"', N'"&amp;D5&amp;"', N'&lt;Root&gt;&lt;/Root&gt;')"</f>
        <v>INSERT INTO Master_Announcement (Title, HTMLContent, TextContent, IsActive, XmlMeta) VALUES(N'Announcement 002', N'', N'', N'1', N'&lt;Root&gt;&lt;/Root&gt;')</v>
      </c>
    </row>
    <row r="6" spans="1:5" x14ac:dyDescent="0.25">
      <c r="A6" s="8" t="s">
        <v>86</v>
      </c>
      <c r="D6">
        <v>1</v>
      </c>
      <c r="E6" s="2" t="str">
        <f t="shared" si="0"/>
        <v>INSERT INTO Master_Announcement (Title, HTMLContent, TextContent, IsActive, XmlMeta) VALUES(N'Announcement 003', N'', N'', N'1', N'&lt;Root&gt;&lt;/Root&gt;')</v>
      </c>
    </row>
    <row r="7" spans="1:5" x14ac:dyDescent="0.25">
      <c r="A7" s="8" t="s">
        <v>87</v>
      </c>
      <c r="D7">
        <v>1</v>
      </c>
      <c r="E7" s="2" t="str">
        <f t="shared" si="0"/>
        <v>INSERT INTO Master_Announcement (Title, HTMLContent, TextContent, IsActive, XmlMeta) VALUES(N'Announcement 004', N'', N'', N'1', N'&lt;Root&gt;&lt;/Root&gt;')</v>
      </c>
    </row>
    <row r="8" spans="1:5" x14ac:dyDescent="0.25">
      <c r="A8" s="8" t="s">
        <v>88</v>
      </c>
      <c r="D8">
        <v>1</v>
      </c>
      <c r="E8" s="2" t="str">
        <f t="shared" si="0"/>
        <v>INSERT INTO Master_Announcement (Title, HTMLContent, TextContent, IsActive, XmlMeta) VALUES(N'Announcement 005', N'', N'', N'1',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34"/>
  <sheetViews>
    <sheetView showGridLines="0" workbookViewId="0">
      <selection activeCell="C1" sqref="C1"/>
    </sheetView>
  </sheetViews>
  <sheetFormatPr defaultRowHeight="13.2" x14ac:dyDescent="0.25"/>
  <cols>
    <col min="1" max="5" width="15.6640625" customWidth="1"/>
    <col min="6" max="6" width="100.6640625" style="2" customWidth="1"/>
  </cols>
  <sheetData>
    <row r="1" spans="1:6" x14ac:dyDescent="0.25">
      <c r="A1" s="1" t="s">
        <v>4</v>
      </c>
      <c r="B1" s="3" t="s">
        <v>26</v>
      </c>
      <c r="C1" s="11" t="s">
        <v>49</v>
      </c>
      <c r="D1" s="3"/>
      <c r="E1" s="3"/>
      <c r="F1"/>
    </row>
    <row r="2" spans="1:6" x14ac:dyDescent="0.25">
      <c r="F2"/>
    </row>
    <row r="3" spans="1:6" x14ac:dyDescent="0.25">
      <c r="A3" s="4" t="s">
        <v>27</v>
      </c>
      <c r="B3" s="4" t="s">
        <v>28</v>
      </c>
      <c r="C3" s="4" t="s">
        <v>29</v>
      </c>
      <c r="D3" s="4" t="s">
        <v>30</v>
      </c>
      <c r="E3" s="4" t="s">
        <v>31</v>
      </c>
      <c r="F3" s="2" t="str">
        <f>"DELETE "&amp;$B$1</f>
        <v>DELETE Master_Calendar</v>
      </c>
    </row>
    <row r="4" spans="1:6" x14ac:dyDescent="0.25">
      <c r="A4" s="7">
        <v>42005</v>
      </c>
      <c r="B4" t="str">
        <f>YEAR(A4) &amp; "/" &amp; RIGHT("00" &amp; IF(WEEKNUM(A4, 2) &gt; 52, 52, WEEKNUM(A4, 2)), 2)</f>
        <v>2015/01</v>
      </c>
      <c r="C4" t="str">
        <f>YEAR(A4)&amp;"/"&amp;RIGHT("00"&amp;MONTH(A4),2)</f>
        <v>2015/01</v>
      </c>
      <c r="D4">
        <f>YEAR(A4)</f>
        <v>2015</v>
      </c>
      <c r="E4" t="str">
        <f>IF(WEEKDAY(A4)=1, "Chủ nhật", IF(WEEKDAY(A4)=7, "Thứ 7", ""))</f>
        <v/>
      </c>
      <c r="F4" s="2" t="str">
        <f>"INSERT INTO "&amp;$B$1&amp;" ("&amp;$A$3&amp;", "&amp;$B$3&amp;", "&amp;$C$3&amp;", "&amp;$D$3&amp;", "&amp;$E$3&amp;", XmlMeta) VALUES(N'"&amp;TEXT(A4, "yyyy-MM-dd")&amp;"', N'"&amp;B4&amp;"', N'"&amp;C4&amp;"', N'"&amp;D4&amp;"', N'"&amp;E4&amp;"', N'&lt;Root&gt;&lt;/Root&gt;')"</f>
        <v>INSERT INTO Master_Calendar (Date, Week, Month, Year, Holiday, XmlMeta) VALUES(N'2015-01-01', N'2015/01', N'2015/01', N'2015', N'', N'&lt;Root&gt;&lt;/Root&gt;')</v>
      </c>
    </row>
    <row r="5" spans="1:6" x14ac:dyDescent="0.25">
      <c r="A5" s="7">
        <v>42006</v>
      </c>
      <c r="B5" t="str">
        <f>YEAR(A5) &amp; "/" &amp; RIGHT("00" &amp; IF(WEEKNUM(A5, 2) &gt; 52, 52, WEEKNUM(A5, 2)), 2)</f>
        <v>2015/01</v>
      </c>
      <c r="C5" t="str">
        <f t="shared" ref="C5:C68" si="0">YEAR(A5)&amp;"/"&amp;RIGHT("00"&amp;MONTH(A5),2)</f>
        <v>2015/01</v>
      </c>
      <c r="D5">
        <f t="shared" ref="D5:D68" si="1">YEAR(A5)</f>
        <v>2015</v>
      </c>
      <c r="E5" t="str">
        <f t="shared" ref="E5:E68" si="2">IF(WEEKDAY(A5)=1, "Chủ nhật", IF(WEEKDAY(A5)=7, "Thứ 7", ""))</f>
        <v/>
      </c>
      <c r="F5" s="2" t="str">
        <f t="shared" ref="F5:F68" si="3">"INSERT INTO "&amp;$B$1&amp;" ("&amp;$A$3&amp;", "&amp;$B$3&amp;", "&amp;$C$3&amp;", "&amp;$D$3&amp;", "&amp;$E$3&amp;", XmlMeta) VALUES(N'"&amp;TEXT(A5, "yyyy-MM-dd")&amp;"', N'"&amp;B5&amp;"', N'"&amp;C5&amp;"', N'"&amp;D5&amp;"', N'"&amp;E5&amp;"', N'&lt;Root&gt;&lt;/Root&gt;')"</f>
        <v>INSERT INTO Master_Calendar (Date, Week, Month, Year, Holiday, XmlMeta) VALUES(N'2015-01-02', N'2015/01', N'2015/01', N'2015', N'', N'&lt;Root&gt;&lt;/Root&gt;')</v>
      </c>
    </row>
    <row r="6" spans="1:6" x14ac:dyDescent="0.25">
      <c r="A6" s="7">
        <v>42007</v>
      </c>
      <c r="B6" t="str">
        <f t="shared" ref="B6:B69" si="4">YEAR(A6) &amp; "/" &amp; RIGHT("00" &amp; IF(WEEKNUM(A6, 2) &gt; 52, 52, WEEKNUM(A6, 2)), 2)</f>
        <v>2015/01</v>
      </c>
      <c r="C6" t="str">
        <f t="shared" si="0"/>
        <v>2015/01</v>
      </c>
      <c r="D6">
        <f t="shared" si="1"/>
        <v>2015</v>
      </c>
      <c r="E6" t="str">
        <f t="shared" si="2"/>
        <v>Thứ 7</v>
      </c>
      <c r="F6" s="2" t="str">
        <f t="shared" si="3"/>
        <v>INSERT INTO Master_Calendar (Date, Week, Month, Year, Holiday, XmlMeta) VALUES(N'2015-01-03', N'2015/01', N'2015/01', N'2015', N'Thứ 7', N'&lt;Root&gt;&lt;/Root&gt;')</v>
      </c>
    </row>
    <row r="7" spans="1:6" x14ac:dyDescent="0.25">
      <c r="A7" s="7">
        <v>42008</v>
      </c>
      <c r="B7" t="str">
        <f t="shared" si="4"/>
        <v>2015/01</v>
      </c>
      <c r="C7" t="str">
        <f t="shared" si="0"/>
        <v>2015/01</v>
      </c>
      <c r="D7">
        <f t="shared" si="1"/>
        <v>2015</v>
      </c>
      <c r="E7" t="str">
        <f t="shared" si="2"/>
        <v>Chủ nhật</v>
      </c>
      <c r="F7" s="2" t="str">
        <f t="shared" si="3"/>
        <v>INSERT INTO Master_Calendar (Date, Week, Month, Year, Holiday, XmlMeta) VALUES(N'2015-01-04', N'2015/01', N'2015/01', N'2015', N'Chủ nhật', N'&lt;Root&gt;&lt;/Root&gt;')</v>
      </c>
    </row>
    <row r="8" spans="1:6" x14ac:dyDescent="0.25">
      <c r="A8" s="7">
        <v>42009</v>
      </c>
      <c r="B8" t="str">
        <f t="shared" si="4"/>
        <v>2015/02</v>
      </c>
      <c r="C8" t="str">
        <f t="shared" si="0"/>
        <v>2015/01</v>
      </c>
      <c r="D8">
        <f t="shared" si="1"/>
        <v>2015</v>
      </c>
      <c r="E8" t="str">
        <f t="shared" si="2"/>
        <v/>
      </c>
      <c r="F8" s="2" t="str">
        <f t="shared" si="3"/>
        <v>INSERT INTO Master_Calendar (Date, Week, Month, Year, Holiday, XmlMeta) VALUES(N'2015-01-05', N'2015/02', N'2015/01', N'2015', N'', N'&lt;Root&gt;&lt;/Root&gt;')</v>
      </c>
    </row>
    <row r="9" spans="1:6" x14ac:dyDescent="0.25">
      <c r="A9" s="7">
        <v>42010</v>
      </c>
      <c r="B9" t="str">
        <f t="shared" si="4"/>
        <v>2015/02</v>
      </c>
      <c r="C9" t="str">
        <f t="shared" si="0"/>
        <v>2015/01</v>
      </c>
      <c r="D9">
        <f t="shared" si="1"/>
        <v>2015</v>
      </c>
      <c r="E9" t="str">
        <f t="shared" si="2"/>
        <v/>
      </c>
      <c r="F9" s="2" t="str">
        <f t="shared" si="3"/>
        <v>INSERT INTO Master_Calendar (Date, Week, Month, Year, Holiday, XmlMeta) VALUES(N'2015-01-06', N'2015/02', N'2015/01', N'2015', N'', N'&lt;Root&gt;&lt;/Root&gt;')</v>
      </c>
    </row>
    <row r="10" spans="1:6" x14ac:dyDescent="0.25">
      <c r="A10" s="7">
        <v>42011</v>
      </c>
      <c r="B10" t="str">
        <f t="shared" si="4"/>
        <v>2015/02</v>
      </c>
      <c r="C10" t="str">
        <f t="shared" si="0"/>
        <v>2015/01</v>
      </c>
      <c r="D10">
        <f t="shared" si="1"/>
        <v>2015</v>
      </c>
      <c r="E10" t="str">
        <f t="shared" si="2"/>
        <v/>
      </c>
      <c r="F10" s="2" t="str">
        <f t="shared" si="3"/>
        <v>INSERT INTO Master_Calendar (Date, Week, Month, Year, Holiday, XmlMeta) VALUES(N'2015-01-07', N'2015/02', N'2015/01', N'2015', N'', N'&lt;Root&gt;&lt;/Root&gt;')</v>
      </c>
    </row>
    <row r="11" spans="1:6" x14ac:dyDescent="0.25">
      <c r="A11" s="7">
        <v>42012</v>
      </c>
      <c r="B11" t="str">
        <f t="shared" si="4"/>
        <v>2015/02</v>
      </c>
      <c r="C11" t="str">
        <f t="shared" si="0"/>
        <v>2015/01</v>
      </c>
      <c r="D11">
        <f t="shared" si="1"/>
        <v>2015</v>
      </c>
      <c r="E11" t="str">
        <f t="shared" si="2"/>
        <v/>
      </c>
      <c r="F11" s="2" t="str">
        <f t="shared" si="3"/>
        <v>INSERT INTO Master_Calendar (Date, Week, Month, Year, Holiday, XmlMeta) VALUES(N'2015-01-08', N'2015/02', N'2015/01', N'2015', N'', N'&lt;Root&gt;&lt;/Root&gt;')</v>
      </c>
    </row>
    <row r="12" spans="1:6" x14ac:dyDescent="0.25">
      <c r="A12" s="7">
        <v>42013</v>
      </c>
      <c r="B12" t="str">
        <f t="shared" si="4"/>
        <v>2015/02</v>
      </c>
      <c r="C12" t="str">
        <f t="shared" si="0"/>
        <v>2015/01</v>
      </c>
      <c r="D12">
        <f t="shared" si="1"/>
        <v>2015</v>
      </c>
      <c r="E12" t="str">
        <f t="shared" si="2"/>
        <v/>
      </c>
      <c r="F12" s="2" t="str">
        <f t="shared" si="3"/>
        <v>INSERT INTO Master_Calendar (Date, Week, Month, Year, Holiday, XmlMeta) VALUES(N'2015-01-09', N'2015/02', N'2015/01', N'2015', N'', N'&lt;Root&gt;&lt;/Root&gt;')</v>
      </c>
    </row>
    <row r="13" spans="1:6" x14ac:dyDescent="0.25">
      <c r="A13" s="7">
        <v>42014</v>
      </c>
      <c r="B13" t="str">
        <f t="shared" si="4"/>
        <v>2015/02</v>
      </c>
      <c r="C13" t="str">
        <f t="shared" si="0"/>
        <v>2015/01</v>
      </c>
      <c r="D13">
        <f t="shared" si="1"/>
        <v>2015</v>
      </c>
      <c r="E13" t="str">
        <f t="shared" si="2"/>
        <v>Thứ 7</v>
      </c>
      <c r="F13" s="2" t="str">
        <f t="shared" si="3"/>
        <v>INSERT INTO Master_Calendar (Date, Week, Month, Year, Holiday, XmlMeta) VALUES(N'2015-01-10', N'2015/02', N'2015/01', N'2015', N'Thứ 7', N'&lt;Root&gt;&lt;/Root&gt;')</v>
      </c>
    </row>
    <row r="14" spans="1:6" x14ac:dyDescent="0.25">
      <c r="A14" s="7">
        <v>42015</v>
      </c>
      <c r="B14" t="str">
        <f t="shared" si="4"/>
        <v>2015/02</v>
      </c>
      <c r="C14" t="str">
        <f t="shared" si="0"/>
        <v>2015/01</v>
      </c>
      <c r="D14">
        <f t="shared" si="1"/>
        <v>2015</v>
      </c>
      <c r="E14" t="str">
        <f t="shared" si="2"/>
        <v>Chủ nhật</v>
      </c>
      <c r="F14" s="2" t="str">
        <f t="shared" si="3"/>
        <v>INSERT INTO Master_Calendar (Date, Week, Month, Year, Holiday, XmlMeta) VALUES(N'2015-01-11', N'2015/02', N'2015/01', N'2015', N'Chủ nhật', N'&lt;Root&gt;&lt;/Root&gt;')</v>
      </c>
    </row>
    <row r="15" spans="1:6" x14ac:dyDescent="0.25">
      <c r="A15" s="7">
        <v>42016</v>
      </c>
      <c r="B15" t="str">
        <f t="shared" si="4"/>
        <v>2015/03</v>
      </c>
      <c r="C15" t="str">
        <f t="shared" si="0"/>
        <v>2015/01</v>
      </c>
      <c r="D15">
        <f t="shared" si="1"/>
        <v>2015</v>
      </c>
      <c r="E15" t="str">
        <f t="shared" si="2"/>
        <v/>
      </c>
      <c r="F15" s="2" t="str">
        <f t="shared" si="3"/>
        <v>INSERT INTO Master_Calendar (Date, Week, Month, Year, Holiday, XmlMeta) VALUES(N'2015-01-12', N'2015/03', N'2015/01', N'2015', N'', N'&lt;Root&gt;&lt;/Root&gt;')</v>
      </c>
    </row>
    <row r="16" spans="1:6" x14ac:dyDescent="0.25">
      <c r="A16" s="7">
        <v>42017</v>
      </c>
      <c r="B16" t="str">
        <f t="shared" si="4"/>
        <v>2015/03</v>
      </c>
      <c r="C16" t="str">
        <f t="shared" si="0"/>
        <v>2015/01</v>
      </c>
      <c r="D16">
        <f t="shared" si="1"/>
        <v>2015</v>
      </c>
      <c r="E16" t="str">
        <f t="shared" si="2"/>
        <v/>
      </c>
      <c r="F16" s="2" t="str">
        <f t="shared" si="3"/>
        <v>INSERT INTO Master_Calendar (Date, Week, Month, Year, Holiday, XmlMeta) VALUES(N'2015-01-13', N'2015/03', N'2015/01', N'2015', N'', N'&lt;Root&gt;&lt;/Root&gt;')</v>
      </c>
    </row>
    <row r="17" spans="1:6" x14ac:dyDescent="0.25">
      <c r="A17" s="7">
        <v>42018</v>
      </c>
      <c r="B17" t="str">
        <f t="shared" si="4"/>
        <v>2015/03</v>
      </c>
      <c r="C17" t="str">
        <f t="shared" si="0"/>
        <v>2015/01</v>
      </c>
      <c r="D17">
        <f t="shared" si="1"/>
        <v>2015</v>
      </c>
      <c r="E17" t="str">
        <f t="shared" si="2"/>
        <v/>
      </c>
      <c r="F17" s="2" t="str">
        <f t="shared" si="3"/>
        <v>INSERT INTO Master_Calendar (Date, Week, Month, Year, Holiday, XmlMeta) VALUES(N'2015-01-14', N'2015/03', N'2015/01', N'2015', N'', N'&lt;Root&gt;&lt;/Root&gt;')</v>
      </c>
    </row>
    <row r="18" spans="1:6" x14ac:dyDescent="0.25">
      <c r="A18" s="7">
        <v>42019</v>
      </c>
      <c r="B18" t="str">
        <f t="shared" si="4"/>
        <v>2015/03</v>
      </c>
      <c r="C18" t="str">
        <f t="shared" si="0"/>
        <v>2015/01</v>
      </c>
      <c r="D18">
        <f t="shared" si="1"/>
        <v>2015</v>
      </c>
      <c r="E18" t="str">
        <f t="shared" si="2"/>
        <v/>
      </c>
      <c r="F18" s="2" t="str">
        <f t="shared" si="3"/>
        <v>INSERT INTO Master_Calendar (Date, Week, Month, Year, Holiday, XmlMeta) VALUES(N'2015-01-15', N'2015/03', N'2015/01', N'2015', N'', N'&lt;Root&gt;&lt;/Root&gt;')</v>
      </c>
    </row>
    <row r="19" spans="1:6" x14ac:dyDescent="0.25">
      <c r="A19" s="7">
        <v>42020</v>
      </c>
      <c r="B19" t="str">
        <f t="shared" si="4"/>
        <v>2015/03</v>
      </c>
      <c r="C19" t="str">
        <f t="shared" si="0"/>
        <v>2015/01</v>
      </c>
      <c r="D19">
        <f t="shared" si="1"/>
        <v>2015</v>
      </c>
      <c r="E19" t="str">
        <f t="shared" si="2"/>
        <v/>
      </c>
      <c r="F19" s="2" t="str">
        <f t="shared" si="3"/>
        <v>INSERT INTO Master_Calendar (Date, Week, Month, Year, Holiday, XmlMeta) VALUES(N'2015-01-16', N'2015/03', N'2015/01', N'2015', N'', N'&lt;Root&gt;&lt;/Root&gt;')</v>
      </c>
    </row>
    <row r="20" spans="1:6" x14ac:dyDescent="0.25">
      <c r="A20" s="7">
        <v>42021</v>
      </c>
      <c r="B20" t="str">
        <f t="shared" si="4"/>
        <v>2015/03</v>
      </c>
      <c r="C20" t="str">
        <f t="shared" si="0"/>
        <v>2015/01</v>
      </c>
      <c r="D20">
        <f t="shared" si="1"/>
        <v>2015</v>
      </c>
      <c r="E20" t="str">
        <f t="shared" si="2"/>
        <v>Thứ 7</v>
      </c>
      <c r="F20" s="2" t="str">
        <f t="shared" si="3"/>
        <v>INSERT INTO Master_Calendar (Date, Week, Month, Year, Holiday, XmlMeta) VALUES(N'2015-01-17', N'2015/03', N'2015/01', N'2015', N'Thứ 7', N'&lt;Root&gt;&lt;/Root&gt;')</v>
      </c>
    </row>
    <row r="21" spans="1:6" x14ac:dyDescent="0.25">
      <c r="A21" s="7">
        <v>42022</v>
      </c>
      <c r="B21" t="str">
        <f t="shared" si="4"/>
        <v>2015/03</v>
      </c>
      <c r="C21" t="str">
        <f t="shared" si="0"/>
        <v>2015/01</v>
      </c>
      <c r="D21">
        <f t="shared" si="1"/>
        <v>2015</v>
      </c>
      <c r="E21" t="str">
        <f t="shared" si="2"/>
        <v>Chủ nhật</v>
      </c>
      <c r="F21" s="2" t="str">
        <f t="shared" si="3"/>
        <v>INSERT INTO Master_Calendar (Date, Week, Month, Year, Holiday, XmlMeta) VALUES(N'2015-01-18', N'2015/03', N'2015/01', N'2015', N'Chủ nhật', N'&lt;Root&gt;&lt;/Root&gt;')</v>
      </c>
    </row>
    <row r="22" spans="1:6" x14ac:dyDescent="0.25">
      <c r="A22" s="7">
        <v>42023</v>
      </c>
      <c r="B22" t="str">
        <f t="shared" si="4"/>
        <v>2015/04</v>
      </c>
      <c r="C22" t="str">
        <f t="shared" si="0"/>
        <v>2015/01</v>
      </c>
      <c r="D22">
        <f t="shared" si="1"/>
        <v>2015</v>
      </c>
      <c r="E22" t="str">
        <f t="shared" si="2"/>
        <v/>
      </c>
      <c r="F22" s="2" t="str">
        <f t="shared" si="3"/>
        <v>INSERT INTO Master_Calendar (Date, Week, Month, Year, Holiday, XmlMeta) VALUES(N'2015-01-19', N'2015/04', N'2015/01', N'2015', N'', N'&lt;Root&gt;&lt;/Root&gt;')</v>
      </c>
    </row>
    <row r="23" spans="1:6" x14ac:dyDescent="0.25">
      <c r="A23" s="7">
        <v>42024</v>
      </c>
      <c r="B23" t="str">
        <f t="shared" si="4"/>
        <v>2015/04</v>
      </c>
      <c r="C23" t="str">
        <f t="shared" si="0"/>
        <v>2015/01</v>
      </c>
      <c r="D23">
        <f t="shared" si="1"/>
        <v>2015</v>
      </c>
      <c r="E23" t="str">
        <f t="shared" si="2"/>
        <v/>
      </c>
      <c r="F23" s="2" t="str">
        <f t="shared" si="3"/>
        <v>INSERT INTO Master_Calendar (Date, Week, Month, Year, Holiday, XmlMeta) VALUES(N'2015-01-20', N'2015/04', N'2015/01', N'2015', N'', N'&lt;Root&gt;&lt;/Root&gt;')</v>
      </c>
    </row>
    <row r="24" spans="1:6" x14ac:dyDescent="0.25">
      <c r="A24" s="7">
        <v>42025</v>
      </c>
      <c r="B24" t="str">
        <f t="shared" si="4"/>
        <v>2015/04</v>
      </c>
      <c r="C24" t="str">
        <f t="shared" si="0"/>
        <v>2015/01</v>
      </c>
      <c r="D24">
        <f t="shared" si="1"/>
        <v>2015</v>
      </c>
      <c r="E24" t="str">
        <f t="shared" si="2"/>
        <v/>
      </c>
      <c r="F24" s="2" t="str">
        <f t="shared" si="3"/>
        <v>INSERT INTO Master_Calendar (Date, Week, Month, Year, Holiday, XmlMeta) VALUES(N'2015-01-21', N'2015/04', N'2015/01', N'2015', N'', N'&lt;Root&gt;&lt;/Root&gt;')</v>
      </c>
    </row>
    <row r="25" spans="1:6" x14ac:dyDescent="0.25">
      <c r="A25" s="7">
        <v>42026</v>
      </c>
      <c r="B25" t="str">
        <f t="shared" si="4"/>
        <v>2015/04</v>
      </c>
      <c r="C25" t="str">
        <f t="shared" si="0"/>
        <v>2015/01</v>
      </c>
      <c r="D25">
        <f t="shared" si="1"/>
        <v>2015</v>
      </c>
      <c r="E25" t="str">
        <f t="shared" si="2"/>
        <v/>
      </c>
      <c r="F25" s="2" t="str">
        <f t="shared" si="3"/>
        <v>INSERT INTO Master_Calendar (Date, Week, Month, Year, Holiday, XmlMeta) VALUES(N'2015-01-22', N'2015/04', N'2015/01', N'2015', N'', N'&lt;Root&gt;&lt;/Root&gt;')</v>
      </c>
    </row>
    <row r="26" spans="1:6" x14ac:dyDescent="0.25">
      <c r="A26" s="7">
        <v>42027</v>
      </c>
      <c r="B26" t="str">
        <f t="shared" si="4"/>
        <v>2015/04</v>
      </c>
      <c r="C26" t="str">
        <f t="shared" si="0"/>
        <v>2015/01</v>
      </c>
      <c r="D26">
        <f t="shared" si="1"/>
        <v>2015</v>
      </c>
      <c r="E26" t="str">
        <f t="shared" si="2"/>
        <v/>
      </c>
      <c r="F26" s="2" t="str">
        <f t="shared" si="3"/>
        <v>INSERT INTO Master_Calendar (Date, Week, Month, Year, Holiday, XmlMeta) VALUES(N'2015-01-23', N'2015/04', N'2015/01', N'2015', N'', N'&lt;Root&gt;&lt;/Root&gt;')</v>
      </c>
    </row>
    <row r="27" spans="1:6" x14ac:dyDescent="0.25">
      <c r="A27" s="7">
        <v>42028</v>
      </c>
      <c r="B27" t="str">
        <f t="shared" si="4"/>
        <v>2015/04</v>
      </c>
      <c r="C27" t="str">
        <f t="shared" si="0"/>
        <v>2015/01</v>
      </c>
      <c r="D27">
        <f t="shared" si="1"/>
        <v>2015</v>
      </c>
      <c r="E27" t="str">
        <f t="shared" si="2"/>
        <v>Thứ 7</v>
      </c>
      <c r="F27" s="2" t="str">
        <f t="shared" si="3"/>
        <v>INSERT INTO Master_Calendar (Date, Week, Month, Year, Holiday, XmlMeta) VALUES(N'2015-01-24', N'2015/04', N'2015/01', N'2015', N'Thứ 7', N'&lt;Root&gt;&lt;/Root&gt;')</v>
      </c>
    </row>
    <row r="28" spans="1:6" x14ac:dyDescent="0.25">
      <c r="A28" s="7">
        <v>42029</v>
      </c>
      <c r="B28" t="str">
        <f t="shared" si="4"/>
        <v>2015/04</v>
      </c>
      <c r="C28" t="str">
        <f t="shared" si="0"/>
        <v>2015/01</v>
      </c>
      <c r="D28">
        <f t="shared" si="1"/>
        <v>2015</v>
      </c>
      <c r="E28" t="str">
        <f t="shared" si="2"/>
        <v>Chủ nhật</v>
      </c>
      <c r="F28" s="2" t="str">
        <f t="shared" si="3"/>
        <v>INSERT INTO Master_Calendar (Date, Week, Month, Year, Holiday, XmlMeta) VALUES(N'2015-01-25', N'2015/04', N'2015/01', N'2015', N'Chủ nhật', N'&lt;Root&gt;&lt;/Root&gt;')</v>
      </c>
    </row>
    <row r="29" spans="1:6" x14ac:dyDescent="0.25">
      <c r="A29" s="7">
        <v>42030</v>
      </c>
      <c r="B29" t="str">
        <f t="shared" si="4"/>
        <v>2015/05</v>
      </c>
      <c r="C29" t="str">
        <f t="shared" si="0"/>
        <v>2015/01</v>
      </c>
      <c r="D29">
        <f t="shared" si="1"/>
        <v>2015</v>
      </c>
      <c r="E29" t="str">
        <f t="shared" si="2"/>
        <v/>
      </c>
      <c r="F29" s="2" t="str">
        <f t="shared" si="3"/>
        <v>INSERT INTO Master_Calendar (Date, Week, Month, Year, Holiday, XmlMeta) VALUES(N'2015-01-26', N'2015/05', N'2015/01', N'2015', N'', N'&lt;Root&gt;&lt;/Root&gt;')</v>
      </c>
    </row>
    <row r="30" spans="1:6" x14ac:dyDescent="0.25">
      <c r="A30" s="7">
        <v>42031</v>
      </c>
      <c r="B30" t="str">
        <f t="shared" si="4"/>
        <v>2015/05</v>
      </c>
      <c r="C30" t="str">
        <f t="shared" si="0"/>
        <v>2015/01</v>
      </c>
      <c r="D30">
        <f t="shared" si="1"/>
        <v>2015</v>
      </c>
      <c r="E30" t="str">
        <f t="shared" si="2"/>
        <v/>
      </c>
      <c r="F30" s="2" t="str">
        <f t="shared" si="3"/>
        <v>INSERT INTO Master_Calendar (Date, Week, Month, Year, Holiday, XmlMeta) VALUES(N'2015-01-27', N'2015/05', N'2015/01', N'2015', N'', N'&lt;Root&gt;&lt;/Root&gt;')</v>
      </c>
    </row>
    <row r="31" spans="1:6" x14ac:dyDescent="0.25">
      <c r="A31" s="7">
        <v>42032</v>
      </c>
      <c r="B31" t="str">
        <f t="shared" si="4"/>
        <v>2015/05</v>
      </c>
      <c r="C31" t="str">
        <f t="shared" si="0"/>
        <v>2015/01</v>
      </c>
      <c r="D31">
        <f t="shared" si="1"/>
        <v>2015</v>
      </c>
      <c r="E31" t="str">
        <f t="shared" si="2"/>
        <v/>
      </c>
      <c r="F31" s="2" t="str">
        <f t="shared" si="3"/>
        <v>INSERT INTO Master_Calendar (Date, Week, Month, Year, Holiday, XmlMeta) VALUES(N'2015-01-28', N'2015/05', N'2015/01', N'2015', N'', N'&lt;Root&gt;&lt;/Root&gt;')</v>
      </c>
    </row>
    <row r="32" spans="1:6" x14ac:dyDescent="0.25">
      <c r="A32" s="7">
        <v>42033</v>
      </c>
      <c r="B32" t="str">
        <f t="shared" si="4"/>
        <v>2015/05</v>
      </c>
      <c r="C32" t="str">
        <f t="shared" si="0"/>
        <v>2015/01</v>
      </c>
      <c r="D32">
        <f t="shared" si="1"/>
        <v>2015</v>
      </c>
      <c r="E32" t="str">
        <f t="shared" si="2"/>
        <v/>
      </c>
      <c r="F32" s="2" t="str">
        <f t="shared" si="3"/>
        <v>INSERT INTO Master_Calendar (Date, Week, Month, Year, Holiday, XmlMeta) VALUES(N'2015-01-29', N'2015/05', N'2015/01', N'2015', N'', N'&lt;Root&gt;&lt;/Root&gt;')</v>
      </c>
    </row>
    <row r="33" spans="1:6" x14ac:dyDescent="0.25">
      <c r="A33" s="7">
        <v>42034</v>
      </c>
      <c r="B33" t="str">
        <f t="shared" si="4"/>
        <v>2015/05</v>
      </c>
      <c r="C33" t="str">
        <f t="shared" si="0"/>
        <v>2015/01</v>
      </c>
      <c r="D33">
        <f t="shared" si="1"/>
        <v>2015</v>
      </c>
      <c r="E33" t="str">
        <f t="shared" si="2"/>
        <v/>
      </c>
      <c r="F33" s="2" t="str">
        <f t="shared" si="3"/>
        <v>INSERT INTO Master_Calendar (Date, Week, Month, Year, Holiday, XmlMeta) VALUES(N'2015-01-30', N'2015/05', N'2015/01', N'2015', N'', N'&lt;Root&gt;&lt;/Root&gt;')</v>
      </c>
    </row>
    <row r="34" spans="1:6" x14ac:dyDescent="0.25">
      <c r="A34" s="7">
        <v>42035</v>
      </c>
      <c r="B34" t="str">
        <f t="shared" si="4"/>
        <v>2015/05</v>
      </c>
      <c r="C34" t="str">
        <f t="shared" si="0"/>
        <v>2015/01</v>
      </c>
      <c r="D34">
        <f t="shared" si="1"/>
        <v>2015</v>
      </c>
      <c r="E34" t="str">
        <f t="shared" si="2"/>
        <v>Thứ 7</v>
      </c>
      <c r="F34" s="2" t="str">
        <f t="shared" si="3"/>
        <v>INSERT INTO Master_Calendar (Date, Week, Month, Year, Holiday, XmlMeta) VALUES(N'2015-01-31', N'2015/05', N'2015/01', N'2015', N'Thứ 7', N'&lt;Root&gt;&lt;/Root&gt;')</v>
      </c>
    </row>
    <row r="35" spans="1:6" x14ac:dyDescent="0.25">
      <c r="A35" s="7">
        <v>42036</v>
      </c>
      <c r="B35" t="str">
        <f t="shared" si="4"/>
        <v>2015/05</v>
      </c>
      <c r="C35" t="str">
        <f t="shared" si="0"/>
        <v>2015/02</v>
      </c>
      <c r="D35">
        <f t="shared" si="1"/>
        <v>2015</v>
      </c>
      <c r="E35" t="str">
        <f t="shared" si="2"/>
        <v>Chủ nhật</v>
      </c>
      <c r="F35" s="2" t="str">
        <f t="shared" si="3"/>
        <v>INSERT INTO Master_Calendar (Date, Week, Month, Year, Holiday, XmlMeta) VALUES(N'2015-02-01', N'2015/05', N'2015/02', N'2015', N'Chủ nhật', N'&lt;Root&gt;&lt;/Root&gt;')</v>
      </c>
    </row>
    <row r="36" spans="1:6" x14ac:dyDescent="0.25">
      <c r="A36" s="7">
        <v>42037</v>
      </c>
      <c r="B36" t="str">
        <f t="shared" si="4"/>
        <v>2015/06</v>
      </c>
      <c r="C36" t="str">
        <f t="shared" si="0"/>
        <v>2015/02</v>
      </c>
      <c r="D36">
        <f t="shared" si="1"/>
        <v>2015</v>
      </c>
      <c r="E36" t="str">
        <f t="shared" si="2"/>
        <v/>
      </c>
      <c r="F36" s="2" t="str">
        <f t="shared" si="3"/>
        <v>INSERT INTO Master_Calendar (Date, Week, Month, Year, Holiday, XmlMeta) VALUES(N'2015-02-02', N'2015/06', N'2015/02', N'2015', N'', N'&lt;Root&gt;&lt;/Root&gt;')</v>
      </c>
    </row>
    <row r="37" spans="1:6" x14ac:dyDescent="0.25">
      <c r="A37" s="7">
        <v>42038</v>
      </c>
      <c r="B37" t="str">
        <f t="shared" si="4"/>
        <v>2015/06</v>
      </c>
      <c r="C37" t="str">
        <f t="shared" si="0"/>
        <v>2015/02</v>
      </c>
      <c r="D37">
        <f t="shared" si="1"/>
        <v>2015</v>
      </c>
      <c r="E37" t="str">
        <f t="shared" si="2"/>
        <v/>
      </c>
      <c r="F37" s="2" t="str">
        <f t="shared" si="3"/>
        <v>INSERT INTO Master_Calendar (Date, Week, Month, Year, Holiday, XmlMeta) VALUES(N'2015-02-03', N'2015/06', N'2015/02', N'2015', N'', N'&lt;Root&gt;&lt;/Root&gt;')</v>
      </c>
    </row>
    <row r="38" spans="1:6" x14ac:dyDescent="0.25">
      <c r="A38" s="7">
        <v>42039</v>
      </c>
      <c r="B38" t="str">
        <f t="shared" si="4"/>
        <v>2015/06</v>
      </c>
      <c r="C38" t="str">
        <f t="shared" si="0"/>
        <v>2015/02</v>
      </c>
      <c r="D38">
        <f t="shared" si="1"/>
        <v>2015</v>
      </c>
      <c r="E38" t="str">
        <f t="shared" si="2"/>
        <v/>
      </c>
      <c r="F38" s="2" t="str">
        <f t="shared" si="3"/>
        <v>INSERT INTO Master_Calendar (Date, Week, Month, Year, Holiday, XmlMeta) VALUES(N'2015-02-04', N'2015/06', N'2015/02', N'2015', N'', N'&lt;Root&gt;&lt;/Root&gt;')</v>
      </c>
    </row>
    <row r="39" spans="1:6" x14ac:dyDescent="0.25">
      <c r="A39" s="7">
        <v>42040</v>
      </c>
      <c r="B39" t="str">
        <f t="shared" si="4"/>
        <v>2015/06</v>
      </c>
      <c r="C39" t="str">
        <f t="shared" si="0"/>
        <v>2015/02</v>
      </c>
      <c r="D39">
        <f t="shared" si="1"/>
        <v>2015</v>
      </c>
      <c r="E39" t="str">
        <f t="shared" si="2"/>
        <v/>
      </c>
      <c r="F39" s="2" t="str">
        <f t="shared" si="3"/>
        <v>INSERT INTO Master_Calendar (Date, Week, Month, Year, Holiday, XmlMeta) VALUES(N'2015-02-05', N'2015/06', N'2015/02', N'2015', N'', N'&lt;Root&gt;&lt;/Root&gt;')</v>
      </c>
    </row>
    <row r="40" spans="1:6" x14ac:dyDescent="0.25">
      <c r="A40" s="7">
        <v>42041</v>
      </c>
      <c r="B40" t="str">
        <f t="shared" si="4"/>
        <v>2015/06</v>
      </c>
      <c r="C40" t="str">
        <f t="shared" si="0"/>
        <v>2015/02</v>
      </c>
      <c r="D40">
        <f t="shared" si="1"/>
        <v>2015</v>
      </c>
      <c r="E40" t="str">
        <f t="shared" si="2"/>
        <v/>
      </c>
      <c r="F40" s="2" t="str">
        <f t="shared" si="3"/>
        <v>INSERT INTO Master_Calendar (Date, Week, Month, Year, Holiday, XmlMeta) VALUES(N'2015-02-06', N'2015/06', N'2015/02', N'2015', N'', N'&lt;Root&gt;&lt;/Root&gt;')</v>
      </c>
    </row>
    <row r="41" spans="1:6" x14ac:dyDescent="0.25">
      <c r="A41" s="7">
        <v>42042</v>
      </c>
      <c r="B41" t="str">
        <f t="shared" si="4"/>
        <v>2015/06</v>
      </c>
      <c r="C41" t="str">
        <f t="shared" si="0"/>
        <v>2015/02</v>
      </c>
      <c r="D41">
        <f t="shared" si="1"/>
        <v>2015</v>
      </c>
      <c r="E41" t="str">
        <f t="shared" si="2"/>
        <v>Thứ 7</v>
      </c>
      <c r="F41" s="2" t="str">
        <f t="shared" si="3"/>
        <v>INSERT INTO Master_Calendar (Date, Week, Month, Year, Holiday, XmlMeta) VALUES(N'2015-02-07', N'2015/06', N'2015/02', N'2015', N'Thứ 7', N'&lt;Root&gt;&lt;/Root&gt;')</v>
      </c>
    </row>
    <row r="42" spans="1:6" x14ac:dyDescent="0.25">
      <c r="A42" s="7">
        <v>42043</v>
      </c>
      <c r="B42" t="str">
        <f t="shared" si="4"/>
        <v>2015/06</v>
      </c>
      <c r="C42" t="str">
        <f t="shared" si="0"/>
        <v>2015/02</v>
      </c>
      <c r="D42">
        <f t="shared" si="1"/>
        <v>2015</v>
      </c>
      <c r="E42" t="str">
        <f t="shared" si="2"/>
        <v>Chủ nhật</v>
      </c>
      <c r="F42" s="2" t="str">
        <f t="shared" si="3"/>
        <v>INSERT INTO Master_Calendar (Date, Week, Month, Year, Holiday, XmlMeta) VALUES(N'2015-02-08', N'2015/06', N'2015/02', N'2015', N'Chủ nhật', N'&lt;Root&gt;&lt;/Root&gt;')</v>
      </c>
    </row>
    <row r="43" spans="1:6" x14ac:dyDescent="0.25">
      <c r="A43" s="7">
        <v>42044</v>
      </c>
      <c r="B43" t="str">
        <f t="shared" si="4"/>
        <v>2015/07</v>
      </c>
      <c r="C43" t="str">
        <f t="shared" si="0"/>
        <v>2015/02</v>
      </c>
      <c r="D43">
        <f t="shared" si="1"/>
        <v>2015</v>
      </c>
      <c r="E43" t="str">
        <f t="shared" si="2"/>
        <v/>
      </c>
      <c r="F43" s="2" t="str">
        <f t="shared" si="3"/>
        <v>INSERT INTO Master_Calendar (Date, Week, Month, Year, Holiday, XmlMeta) VALUES(N'2015-02-09', N'2015/07', N'2015/02', N'2015', N'', N'&lt;Root&gt;&lt;/Root&gt;')</v>
      </c>
    </row>
    <row r="44" spans="1:6" x14ac:dyDescent="0.25">
      <c r="A44" s="7">
        <v>42045</v>
      </c>
      <c r="B44" t="str">
        <f t="shared" si="4"/>
        <v>2015/07</v>
      </c>
      <c r="C44" t="str">
        <f t="shared" si="0"/>
        <v>2015/02</v>
      </c>
      <c r="D44">
        <f t="shared" si="1"/>
        <v>2015</v>
      </c>
      <c r="E44" t="str">
        <f t="shared" si="2"/>
        <v/>
      </c>
      <c r="F44" s="2" t="str">
        <f t="shared" si="3"/>
        <v>INSERT INTO Master_Calendar (Date, Week, Month, Year, Holiday, XmlMeta) VALUES(N'2015-02-10', N'2015/07', N'2015/02', N'2015', N'', N'&lt;Root&gt;&lt;/Root&gt;')</v>
      </c>
    </row>
    <row r="45" spans="1:6" x14ac:dyDescent="0.25">
      <c r="A45" s="7">
        <v>42046</v>
      </c>
      <c r="B45" t="str">
        <f t="shared" si="4"/>
        <v>2015/07</v>
      </c>
      <c r="C45" t="str">
        <f t="shared" si="0"/>
        <v>2015/02</v>
      </c>
      <c r="D45">
        <f t="shared" si="1"/>
        <v>2015</v>
      </c>
      <c r="E45" t="str">
        <f t="shared" si="2"/>
        <v/>
      </c>
      <c r="F45" s="2" t="str">
        <f t="shared" si="3"/>
        <v>INSERT INTO Master_Calendar (Date, Week, Month, Year, Holiday, XmlMeta) VALUES(N'2015-02-11', N'2015/07', N'2015/02', N'2015', N'', N'&lt;Root&gt;&lt;/Root&gt;')</v>
      </c>
    </row>
    <row r="46" spans="1:6" x14ac:dyDescent="0.25">
      <c r="A46" s="7">
        <v>42047</v>
      </c>
      <c r="B46" t="str">
        <f t="shared" si="4"/>
        <v>2015/07</v>
      </c>
      <c r="C46" t="str">
        <f t="shared" si="0"/>
        <v>2015/02</v>
      </c>
      <c r="D46">
        <f t="shared" si="1"/>
        <v>2015</v>
      </c>
      <c r="E46" t="str">
        <f t="shared" si="2"/>
        <v/>
      </c>
      <c r="F46" s="2" t="str">
        <f t="shared" si="3"/>
        <v>INSERT INTO Master_Calendar (Date, Week, Month, Year, Holiday, XmlMeta) VALUES(N'2015-02-12', N'2015/07', N'2015/02', N'2015', N'', N'&lt;Root&gt;&lt;/Root&gt;')</v>
      </c>
    </row>
    <row r="47" spans="1:6" x14ac:dyDescent="0.25">
      <c r="A47" s="7">
        <v>42048</v>
      </c>
      <c r="B47" t="str">
        <f t="shared" si="4"/>
        <v>2015/07</v>
      </c>
      <c r="C47" t="str">
        <f t="shared" si="0"/>
        <v>2015/02</v>
      </c>
      <c r="D47">
        <f t="shared" si="1"/>
        <v>2015</v>
      </c>
      <c r="E47" t="str">
        <f t="shared" si="2"/>
        <v/>
      </c>
      <c r="F47" s="2" t="str">
        <f t="shared" si="3"/>
        <v>INSERT INTO Master_Calendar (Date, Week, Month, Year, Holiday, XmlMeta) VALUES(N'2015-02-13', N'2015/07', N'2015/02', N'2015', N'', N'&lt;Root&gt;&lt;/Root&gt;')</v>
      </c>
    </row>
    <row r="48" spans="1:6" x14ac:dyDescent="0.25">
      <c r="A48" s="7">
        <v>42049</v>
      </c>
      <c r="B48" t="str">
        <f t="shared" si="4"/>
        <v>2015/07</v>
      </c>
      <c r="C48" t="str">
        <f t="shared" si="0"/>
        <v>2015/02</v>
      </c>
      <c r="D48">
        <f t="shared" si="1"/>
        <v>2015</v>
      </c>
      <c r="E48" t="str">
        <f t="shared" si="2"/>
        <v>Thứ 7</v>
      </c>
      <c r="F48" s="2" t="str">
        <f t="shared" si="3"/>
        <v>INSERT INTO Master_Calendar (Date, Week, Month, Year, Holiday, XmlMeta) VALUES(N'2015-02-14', N'2015/07', N'2015/02', N'2015', N'Thứ 7', N'&lt;Root&gt;&lt;/Root&gt;')</v>
      </c>
    </row>
    <row r="49" spans="1:6" x14ac:dyDescent="0.25">
      <c r="A49" s="7">
        <v>42050</v>
      </c>
      <c r="B49" t="str">
        <f t="shared" si="4"/>
        <v>2015/07</v>
      </c>
      <c r="C49" t="str">
        <f t="shared" si="0"/>
        <v>2015/02</v>
      </c>
      <c r="D49">
        <f t="shared" si="1"/>
        <v>2015</v>
      </c>
      <c r="E49" t="str">
        <f t="shared" si="2"/>
        <v>Chủ nhật</v>
      </c>
      <c r="F49" s="2" t="str">
        <f t="shared" si="3"/>
        <v>INSERT INTO Master_Calendar (Date, Week, Month, Year, Holiday, XmlMeta) VALUES(N'2015-02-15', N'2015/07', N'2015/02', N'2015', N'Chủ nhật', N'&lt;Root&gt;&lt;/Root&gt;')</v>
      </c>
    </row>
    <row r="50" spans="1:6" x14ac:dyDescent="0.25">
      <c r="A50" s="7">
        <v>42051</v>
      </c>
      <c r="B50" t="str">
        <f t="shared" si="4"/>
        <v>2015/08</v>
      </c>
      <c r="C50" t="str">
        <f t="shared" si="0"/>
        <v>2015/02</v>
      </c>
      <c r="D50">
        <f t="shared" si="1"/>
        <v>2015</v>
      </c>
      <c r="E50" t="str">
        <f t="shared" si="2"/>
        <v/>
      </c>
      <c r="F50" s="2" t="str">
        <f t="shared" si="3"/>
        <v>INSERT INTO Master_Calendar (Date, Week, Month, Year, Holiday, XmlMeta) VALUES(N'2015-02-16', N'2015/08', N'2015/02', N'2015', N'', N'&lt;Root&gt;&lt;/Root&gt;')</v>
      </c>
    </row>
    <row r="51" spans="1:6" x14ac:dyDescent="0.25">
      <c r="A51" s="7">
        <v>42052</v>
      </c>
      <c r="B51" t="str">
        <f t="shared" si="4"/>
        <v>2015/08</v>
      </c>
      <c r="C51" t="str">
        <f t="shared" si="0"/>
        <v>2015/02</v>
      </c>
      <c r="D51">
        <f t="shared" si="1"/>
        <v>2015</v>
      </c>
      <c r="E51" t="str">
        <f t="shared" si="2"/>
        <v/>
      </c>
      <c r="F51" s="2" t="str">
        <f t="shared" si="3"/>
        <v>INSERT INTO Master_Calendar (Date, Week, Month, Year, Holiday, XmlMeta) VALUES(N'2015-02-17', N'2015/08', N'2015/02', N'2015', N'', N'&lt;Root&gt;&lt;/Root&gt;')</v>
      </c>
    </row>
    <row r="52" spans="1:6" x14ac:dyDescent="0.25">
      <c r="A52" s="7">
        <v>42053</v>
      </c>
      <c r="B52" t="str">
        <f t="shared" si="4"/>
        <v>2015/08</v>
      </c>
      <c r="C52" t="str">
        <f t="shared" si="0"/>
        <v>2015/02</v>
      </c>
      <c r="D52">
        <f t="shared" si="1"/>
        <v>2015</v>
      </c>
      <c r="E52" t="str">
        <f t="shared" si="2"/>
        <v/>
      </c>
      <c r="F52" s="2" t="str">
        <f t="shared" si="3"/>
        <v>INSERT INTO Master_Calendar (Date, Week, Month, Year, Holiday, XmlMeta) VALUES(N'2015-02-18', N'2015/08', N'2015/02', N'2015', N'', N'&lt;Root&gt;&lt;/Root&gt;')</v>
      </c>
    </row>
    <row r="53" spans="1:6" x14ac:dyDescent="0.25">
      <c r="A53" s="7">
        <v>42054</v>
      </c>
      <c r="B53" t="str">
        <f t="shared" si="4"/>
        <v>2015/08</v>
      </c>
      <c r="C53" t="str">
        <f t="shared" si="0"/>
        <v>2015/02</v>
      </c>
      <c r="D53">
        <f t="shared" si="1"/>
        <v>2015</v>
      </c>
      <c r="E53" t="str">
        <f t="shared" si="2"/>
        <v/>
      </c>
      <c r="F53" s="2" t="str">
        <f t="shared" si="3"/>
        <v>INSERT INTO Master_Calendar (Date, Week, Month, Year, Holiday, XmlMeta) VALUES(N'2015-02-19', N'2015/08', N'2015/02', N'2015', N'', N'&lt;Root&gt;&lt;/Root&gt;')</v>
      </c>
    </row>
    <row r="54" spans="1:6" x14ac:dyDescent="0.25">
      <c r="A54" s="7">
        <v>42055</v>
      </c>
      <c r="B54" t="str">
        <f t="shared" si="4"/>
        <v>2015/08</v>
      </c>
      <c r="C54" t="str">
        <f t="shared" si="0"/>
        <v>2015/02</v>
      </c>
      <c r="D54">
        <f t="shared" si="1"/>
        <v>2015</v>
      </c>
      <c r="E54" t="str">
        <f t="shared" si="2"/>
        <v/>
      </c>
      <c r="F54" s="2" t="str">
        <f t="shared" si="3"/>
        <v>INSERT INTO Master_Calendar (Date, Week, Month, Year, Holiday, XmlMeta) VALUES(N'2015-02-20', N'2015/08', N'2015/02', N'2015', N'', N'&lt;Root&gt;&lt;/Root&gt;')</v>
      </c>
    </row>
    <row r="55" spans="1:6" x14ac:dyDescent="0.25">
      <c r="A55" s="7">
        <v>42056</v>
      </c>
      <c r="B55" t="str">
        <f t="shared" si="4"/>
        <v>2015/08</v>
      </c>
      <c r="C55" t="str">
        <f t="shared" si="0"/>
        <v>2015/02</v>
      </c>
      <c r="D55">
        <f t="shared" si="1"/>
        <v>2015</v>
      </c>
      <c r="E55" t="str">
        <f t="shared" si="2"/>
        <v>Thứ 7</v>
      </c>
      <c r="F55" s="2" t="str">
        <f t="shared" si="3"/>
        <v>INSERT INTO Master_Calendar (Date, Week, Month, Year, Holiday, XmlMeta) VALUES(N'2015-02-21', N'2015/08', N'2015/02', N'2015', N'Thứ 7', N'&lt;Root&gt;&lt;/Root&gt;')</v>
      </c>
    </row>
    <row r="56" spans="1:6" x14ac:dyDescent="0.25">
      <c r="A56" s="7">
        <v>42057</v>
      </c>
      <c r="B56" t="str">
        <f t="shared" si="4"/>
        <v>2015/08</v>
      </c>
      <c r="C56" t="str">
        <f t="shared" si="0"/>
        <v>2015/02</v>
      </c>
      <c r="D56">
        <f t="shared" si="1"/>
        <v>2015</v>
      </c>
      <c r="E56" t="str">
        <f t="shared" si="2"/>
        <v>Chủ nhật</v>
      </c>
      <c r="F56" s="2" t="str">
        <f t="shared" si="3"/>
        <v>INSERT INTO Master_Calendar (Date, Week, Month, Year, Holiday, XmlMeta) VALUES(N'2015-02-22', N'2015/08', N'2015/02', N'2015', N'Chủ nhật', N'&lt;Root&gt;&lt;/Root&gt;')</v>
      </c>
    </row>
    <row r="57" spans="1:6" x14ac:dyDescent="0.25">
      <c r="A57" s="7">
        <v>42058</v>
      </c>
      <c r="B57" t="str">
        <f t="shared" si="4"/>
        <v>2015/09</v>
      </c>
      <c r="C57" t="str">
        <f t="shared" si="0"/>
        <v>2015/02</v>
      </c>
      <c r="D57">
        <f t="shared" si="1"/>
        <v>2015</v>
      </c>
      <c r="E57" t="str">
        <f t="shared" si="2"/>
        <v/>
      </c>
      <c r="F57" s="2" t="str">
        <f t="shared" si="3"/>
        <v>INSERT INTO Master_Calendar (Date, Week, Month, Year, Holiday, XmlMeta) VALUES(N'2015-02-23', N'2015/09', N'2015/02', N'2015', N'', N'&lt;Root&gt;&lt;/Root&gt;')</v>
      </c>
    </row>
    <row r="58" spans="1:6" x14ac:dyDescent="0.25">
      <c r="A58" s="7">
        <v>42059</v>
      </c>
      <c r="B58" t="str">
        <f t="shared" si="4"/>
        <v>2015/09</v>
      </c>
      <c r="C58" t="str">
        <f t="shared" si="0"/>
        <v>2015/02</v>
      </c>
      <c r="D58">
        <f t="shared" si="1"/>
        <v>2015</v>
      </c>
      <c r="E58" t="str">
        <f t="shared" si="2"/>
        <v/>
      </c>
      <c r="F58" s="2" t="str">
        <f t="shared" si="3"/>
        <v>INSERT INTO Master_Calendar (Date, Week, Month, Year, Holiday, XmlMeta) VALUES(N'2015-02-24', N'2015/09', N'2015/02', N'2015', N'', N'&lt;Root&gt;&lt;/Root&gt;')</v>
      </c>
    </row>
    <row r="59" spans="1:6" x14ac:dyDescent="0.25">
      <c r="A59" s="7">
        <v>42060</v>
      </c>
      <c r="B59" t="str">
        <f t="shared" si="4"/>
        <v>2015/09</v>
      </c>
      <c r="C59" t="str">
        <f t="shared" si="0"/>
        <v>2015/02</v>
      </c>
      <c r="D59">
        <f t="shared" si="1"/>
        <v>2015</v>
      </c>
      <c r="E59" t="str">
        <f t="shared" si="2"/>
        <v/>
      </c>
      <c r="F59" s="2" t="str">
        <f t="shared" si="3"/>
        <v>INSERT INTO Master_Calendar (Date, Week, Month, Year, Holiday, XmlMeta) VALUES(N'2015-02-25', N'2015/09', N'2015/02', N'2015', N'', N'&lt;Root&gt;&lt;/Root&gt;')</v>
      </c>
    </row>
    <row r="60" spans="1:6" x14ac:dyDescent="0.25">
      <c r="A60" s="7">
        <v>42061</v>
      </c>
      <c r="B60" t="str">
        <f t="shared" si="4"/>
        <v>2015/09</v>
      </c>
      <c r="C60" t="str">
        <f t="shared" si="0"/>
        <v>2015/02</v>
      </c>
      <c r="D60">
        <f t="shared" si="1"/>
        <v>2015</v>
      </c>
      <c r="E60" t="str">
        <f t="shared" si="2"/>
        <v/>
      </c>
      <c r="F60" s="2" t="str">
        <f t="shared" si="3"/>
        <v>INSERT INTO Master_Calendar (Date, Week, Month, Year, Holiday, XmlMeta) VALUES(N'2015-02-26', N'2015/09', N'2015/02', N'2015', N'', N'&lt;Root&gt;&lt;/Root&gt;')</v>
      </c>
    </row>
    <row r="61" spans="1:6" x14ac:dyDescent="0.25">
      <c r="A61" s="7">
        <v>42062</v>
      </c>
      <c r="B61" t="str">
        <f t="shared" si="4"/>
        <v>2015/09</v>
      </c>
      <c r="C61" t="str">
        <f t="shared" si="0"/>
        <v>2015/02</v>
      </c>
      <c r="D61">
        <f t="shared" si="1"/>
        <v>2015</v>
      </c>
      <c r="E61" t="str">
        <f t="shared" si="2"/>
        <v/>
      </c>
      <c r="F61" s="2" t="str">
        <f t="shared" si="3"/>
        <v>INSERT INTO Master_Calendar (Date, Week, Month, Year, Holiday, XmlMeta) VALUES(N'2015-02-27', N'2015/09', N'2015/02', N'2015', N'', N'&lt;Root&gt;&lt;/Root&gt;')</v>
      </c>
    </row>
    <row r="62" spans="1:6" x14ac:dyDescent="0.25">
      <c r="A62" s="7">
        <v>42063</v>
      </c>
      <c r="B62" t="str">
        <f t="shared" si="4"/>
        <v>2015/09</v>
      </c>
      <c r="C62" t="str">
        <f t="shared" si="0"/>
        <v>2015/02</v>
      </c>
      <c r="D62">
        <f t="shared" si="1"/>
        <v>2015</v>
      </c>
      <c r="E62" t="str">
        <f t="shared" si="2"/>
        <v>Thứ 7</v>
      </c>
      <c r="F62" s="2" t="str">
        <f t="shared" si="3"/>
        <v>INSERT INTO Master_Calendar (Date, Week, Month, Year, Holiday, XmlMeta) VALUES(N'2015-02-28', N'2015/09', N'2015/02', N'2015', N'Thứ 7', N'&lt;Root&gt;&lt;/Root&gt;')</v>
      </c>
    </row>
    <row r="63" spans="1:6" x14ac:dyDescent="0.25">
      <c r="A63" s="7">
        <v>42064</v>
      </c>
      <c r="B63" t="str">
        <f t="shared" si="4"/>
        <v>2015/09</v>
      </c>
      <c r="C63" t="str">
        <f t="shared" si="0"/>
        <v>2015/03</v>
      </c>
      <c r="D63">
        <f t="shared" si="1"/>
        <v>2015</v>
      </c>
      <c r="E63" t="str">
        <f t="shared" si="2"/>
        <v>Chủ nhật</v>
      </c>
      <c r="F63" s="2" t="str">
        <f t="shared" si="3"/>
        <v>INSERT INTO Master_Calendar (Date, Week, Month, Year, Holiday, XmlMeta) VALUES(N'2015-03-01', N'2015/09', N'2015/03', N'2015', N'Chủ nhật', N'&lt;Root&gt;&lt;/Root&gt;')</v>
      </c>
    </row>
    <row r="64" spans="1:6" x14ac:dyDescent="0.25">
      <c r="A64" s="7">
        <v>42065</v>
      </c>
      <c r="B64" t="str">
        <f t="shared" si="4"/>
        <v>2015/10</v>
      </c>
      <c r="C64" t="str">
        <f t="shared" si="0"/>
        <v>2015/03</v>
      </c>
      <c r="D64">
        <f t="shared" si="1"/>
        <v>2015</v>
      </c>
      <c r="E64" t="str">
        <f t="shared" si="2"/>
        <v/>
      </c>
      <c r="F64" s="2" t="str">
        <f t="shared" si="3"/>
        <v>INSERT INTO Master_Calendar (Date, Week, Month, Year, Holiday, XmlMeta) VALUES(N'2015-03-02', N'2015/10', N'2015/03', N'2015', N'', N'&lt;Root&gt;&lt;/Root&gt;')</v>
      </c>
    </row>
    <row r="65" spans="1:6" x14ac:dyDescent="0.25">
      <c r="A65" s="7">
        <v>42066</v>
      </c>
      <c r="B65" t="str">
        <f t="shared" si="4"/>
        <v>2015/10</v>
      </c>
      <c r="C65" t="str">
        <f t="shared" si="0"/>
        <v>2015/03</v>
      </c>
      <c r="D65">
        <f t="shared" si="1"/>
        <v>2015</v>
      </c>
      <c r="E65" t="str">
        <f t="shared" si="2"/>
        <v/>
      </c>
      <c r="F65" s="2" t="str">
        <f t="shared" si="3"/>
        <v>INSERT INTO Master_Calendar (Date, Week, Month, Year, Holiday, XmlMeta) VALUES(N'2015-03-03', N'2015/10', N'2015/03', N'2015', N'', N'&lt;Root&gt;&lt;/Root&gt;')</v>
      </c>
    </row>
    <row r="66" spans="1:6" x14ac:dyDescent="0.25">
      <c r="A66" s="7">
        <v>42067</v>
      </c>
      <c r="B66" t="str">
        <f t="shared" si="4"/>
        <v>2015/10</v>
      </c>
      <c r="C66" t="str">
        <f t="shared" si="0"/>
        <v>2015/03</v>
      </c>
      <c r="D66">
        <f t="shared" si="1"/>
        <v>2015</v>
      </c>
      <c r="E66" t="str">
        <f t="shared" si="2"/>
        <v/>
      </c>
      <c r="F66" s="2" t="str">
        <f t="shared" si="3"/>
        <v>INSERT INTO Master_Calendar (Date, Week, Month, Year, Holiday, XmlMeta) VALUES(N'2015-03-04', N'2015/10', N'2015/03', N'2015', N'', N'&lt;Root&gt;&lt;/Root&gt;')</v>
      </c>
    </row>
    <row r="67" spans="1:6" x14ac:dyDescent="0.25">
      <c r="A67" s="7">
        <v>42068</v>
      </c>
      <c r="B67" t="str">
        <f t="shared" si="4"/>
        <v>2015/10</v>
      </c>
      <c r="C67" t="str">
        <f t="shared" si="0"/>
        <v>2015/03</v>
      </c>
      <c r="D67">
        <f t="shared" si="1"/>
        <v>2015</v>
      </c>
      <c r="E67" t="str">
        <f t="shared" si="2"/>
        <v/>
      </c>
      <c r="F67" s="2" t="str">
        <f t="shared" si="3"/>
        <v>INSERT INTO Master_Calendar (Date, Week, Month, Year, Holiday, XmlMeta) VALUES(N'2015-03-05', N'2015/10', N'2015/03', N'2015', N'', N'&lt;Root&gt;&lt;/Root&gt;')</v>
      </c>
    </row>
    <row r="68" spans="1:6" x14ac:dyDescent="0.25">
      <c r="A68" s="7">
        <v>42069</v>
      </c>
      <c r="B68" t="str">
        <f t="shared" si="4"/>
        <v>2015/10</v>
      </c>
      <c r="C68" t="str">
        <f t="shared" si="0"/>
        <v>2015/03</v>
      </c>
      <c r="D68">
        <f t="shared" si="1"/>
        <v>2015</v>
      </c>
      <c r="E68" t="str">
        <f t="shared" si="2"/>
        <v/>
      </c>
      <c r="F68" s="2" t="str">
        <f t="shared" si="3"/>
        <v>INSERT INTO Master_Calendar (Date, Week, Month, Year, Holiday, XmlMeta) VALUES(N'2015-03-06', N'2015/10', N'2015/03', N'2015', N'', N'&lt;Root&gt;&lt;/Root&gt;')</v>
      </c>
    </row>
    <row r="69" spans="1:6" x14ac:dyDescent="0.25">
      <c r="A69" s="7">
        <v>42070</v>
      </c>
      <c r="B69" t="str">
        <f t="shared" si="4"/>
        <v>2015/10</v>
      </c>
      <c r="C69" t="str">
        <f t="shared" ref="C69:C132" si="5">YEAR(A69)&amp;"/"&amp;RIGHT("00"&amp;MONTH(A69),2)</f>
        <v>2015/03</v>
      </c>
      <c r="D69">
        <f t="shared" ref="D69:D132" si="6">YEAR(A69)</f>
        <v>2015</v>
      </c>
      <c r="E69" t="str">
        <f t="shared" ref="E69:E132" si="7">IF(WEEKDAY(A69)=1, "Chủ nhật", IF(WEEKDAY(A69)=7, "Thứ 7", ""))</f>
        <v>Thứ 7</v>
      </c>
      <c r="F69" s="2" t="str">
        <f t="shared" ref="F69:F132" si="8">"INSERT INTO "&amp;$B$1&amp;" ("&amp;$A$3&amp;", "&amp;$B$3&amp;", "&amp;$C$3&amp;", "&amp;$D$3&amp;", "&amp;$E$3&amp;", XmlMeta) VALUES(N'"&amp;TEXT(A69, "yyyy-MM-dd")&amp;"', N'"&amp;B69&amp;"', N'"&amp;C69&amp;"', N'"&amp;D69&amp;"', N'"&amp;E69&amp;"', N'&lt;Root&gt;&lt;/Root&gt;')"</f>
        <v>INSERT INTO Master_Calendar (Date, Week, Month, Year, Holiday, XmlMeta) VALUES(N'2015-03-07', N'2015/10', N'2015/03', N'2015', N'Thứ 7', N'&lt;Root&gt;&lt;/Root&gt;')</v>
      </c>
    </row>
    <row r="70" spans="1:6" x14ac:dyDescent="0.25">
      <c r="A70" s="7">
        <v>42071</v>
      </c>
      <c r="B70" t="str">
        <f t="shared" ref="B70:B133" si="9">YEAR(A70) &amp; "/" &amp; RIGHT("00" &amp; IF(WEEKNUM(A70, 2) &gt; 52, 52, WEEKNUM(A70, 2)), 2)</f>
        <v>2015/10</v>
      </c>
      <c r="C70" t="str">
        <f t="shared" si="5"/>
        <v>2015/03</v>
      </c>
      <c r="D70">
        <f t="shared" si="6"/>
        <v>2015</v>
      </c>
      <c r="E70" t="str">
        <f t="shared" si="7"/>
        <v>Chủ nhật</v>
      </c>
      <c r="F70" s="2" t="str">
        <f t="shared" si="8"/>
        <v>INSERT INTO Master_Calendar (Date, Week, Month, Year, Holiday, XmlMeta) VALUES(N'2015-03-08', N'2015/10', N'2015/03', N'2015', N'Chủ nhật', N'&lt;Root&gt;&lt;/Root&gt;')</v>
      </c>
    </row>
    <row r="71" spans="1:6" x14ac:dyDescent="0.25">
      <c r="A71" s="7">
        <v>42072</v>
      </c>
      <c r="B71" t="str">
        <f t="shared" si="9"/>
        <v>2015/11</v>
      </c>
      <c r="C71" t="str">
        <f t="shared" si="5"/>
        <v>2015/03</v>
      </c>
      <c r="D71">
        <f t="shared" si="6"/>
        <v>2015</v>
      </c>
      <c r="E71" t="str">
        <f t="shared" si="7"/>
        <v/>
      </c>
      <c r="F71" s="2" t="str">
        <f t="shared" si="8"/>
        <v>INSERT INTO Master_Calendar (Date, Week, Month, Year, Holiday, XmlMeta) VALUES(N'2015-03-09', N'2015/11', N'2015/03', N'2015', N'', N'&lt;Root&gt;&lt;/Root&gt;')</v>
      </c>
    </row>
    <row r="72" spans="1:6" x14ac:dyDescent="0.25">
      <c r="A72" s="7">
        <v>42073</v>
      </c>
      <c r="B72" t="str">
        <f t="shared" si="9"/>
        <v>2015/11</v>
      </c>
      <c r="C72" t="str">
        <f t="shared" si="5"/>
        <v>2015/03</v>
      </c>
      <c r="D72">
        <f t="shared" si="6"/>
        <v>2015</v>
      </c>
      <c r="E72" t="str">
        <f t="shared" si="7"/>
        <v/>
      </c>
      <c r="F72" s="2" t="str">
        <f t="shared" si="8"/>
        <v>INSERT INTO Master_Calendar (Date, Week, Month, Year, Holiday, XmlMeta) VALUES(N'2015-03-10', N'2015/11', N'2015/03', N'2015', N'', N'&lt;Root&gt;&lt;/Root&gt;')</v>
      </c>
    </row>
    <row r="73" spans="1:6" x14ac:dyDescent="0.25">
      <c r="A73" s="7">
        <v>42074</v>
      </c>
      <c r="B73" t="str">
        <f t="shared" si="9"/>
        <v>2015/11</v>
      </c>
      <c r="C73" t="str">
        <f t="shared" si="5"/>
        <v>2015/03</v>
      </c>
      <c r="D73">
        <f t="shared" si="6"/>
        <v>2015</v>
      </c>
      <c r="E73" t="str">
        <f t="shared" si="7"/>
        <v/>
      </c>
      <c r="F73" s="2" t="str">
        <f t="shared" si="8"/>
        <v>INSERT INTO Master_Calendar (Date, Week, Month, Year, Holiday, XmlMeta) VALUES(N'2015-03-11', N'2015/11', N'2015/03', N'2015', N'', N'&lt;Root&gt;&lt;/Root&gt;')</v>
      </c>
    </row>
    <row r="74" spans="1:6" x14ac:dyDescent="0.25">
      <c r="A74" s="7">
        <v>42075</v>
      </c>
      <c r="B74" t="str">
        <f t="shared" si="9"/>
        <v>2015/11</v>
      </c>
      <c r="C74" t="str">
        <f t="shared" si="5"/>
        <v>2015/03</v>
      </c>
      <c r="D74">
        <f t="shared" si="6"/>
        <v>2015</v>
      </c>
      <c r="E74" t="str">
        <f t="shared" si="7"/>
        <v/>
      </c>
      <c r="F74" s="2" t="str">
        <f t="shared" si="8"/>
        <v>INSERT INTO Master_Calendar (Date, Week, Month, Year, Holiday, XmlMeta) VALUES(N'2015-03-12', N'2015/11', N'2015/03', N'2015', N'', N'&lt;Root&gt;&lt;/Root&gt;')</v>
      </c>
    </row>
    <row r="75" spans="1:6" x14ac:dyDescent="0.25">
      <c r="A75" s="7">
        <v>42076</v>
      </c>
      <c r="B75" t="str">
        <f t="shared" si="9"/>
        <v>2015/11</v>
      </c>
      <c r="C75" t="str">
        <f t="shared" si="5"/>
        <v>2015/03</v>
      </c>
      <c r="D75">
        <f t="shared" si="6"/>
        <v>2015</v>
      </c>
      <c r="E75" t="str">
        <f t="shared" si="7"/>
        <v/>
      </c>
      <c r="F75" s="2" t="str">
        <f t="shared" si="8"/>
        <v>INSERT INTO Master_Calendar (Date, Week, Month, Year, Holiday, XmlMeta) VALUES(N'2015-03-13', N'2015/11', N'2015/03', N'2015', N'', N'&lt;Root&gt;&lt;/Root&gt;')</v>
      </c>
    </row>
    <row r="76" spans="1:6" x14ac:dyDescent="0.25">
      <c r="A76" s="7">
        <v>42077</v>
      </c>
      <c r="B76" t="str">
        <f t="shared" si="9"/>
        <v>2015/11</v>
      </c>
      <c r="C76" t="str">
        <f t="shared" si="5"/>
        <v>2015/03</v>
      </c>
      <c r="D76">
        <f t="shared" si="6"/>
        <v>2015</v>
      </c>
      <c r="E76" t="str">
        <f t="shared" si="7"/>
        <v>Thứ 7</v>
      </c>
      <c r="F76" s="2" t="str">
        <f t="shared" si="8"/>
        <v>INSERT INTO Master_Calendar (Date, Week, Month, Year, Holiday, XmlMeta) VALUES(N'2015-03-14', N'2015/11', N'2015/03', N'2015', N'Thứ 7', N'&lt;Root&gt;&lt;/Root&gt;')</v>
      </c>
    </row>
    <row r="77" spans="1:6" x14ac:dyDescent="0.25">
      <c r="A77" s="7">
        <v>42078</v>
      </c>
      <c r="B77" t="str">
        <f t="shared" si="9"/>
        <v>2015/11</v>
      </c>
      <c r="C77" t="str">
        <f t="shared" si="5"/>
        <v>2015/03</v>
      </c>
      <c r="D77">
        <f t="shared" si="6"/>
        <v>2015</v>
      </c>
      <c r="E77" t="str">
        <f t="shared" si="7"/>
        <v>Chủ nhật</v>
      </c>
      <c r="F77" s="2" t="str">
        <f t="shared" si="8"/>
        <v>INSERT INTO Master_Calendar (Date, Week, Month, Year, Holiday, XmlMeta) VALUES(N'2015-03-15', N'2015/11', N'2015/03', N'2015', N'Chủ nhật', N'&lt;Root&gt;&lt;/Root&gt;')</v>
      </c>
    </row>
    <row r="78" spans="1:6" x14ac:dyDescent="0.25">
      <c r="A78" s="7">
        <v>42079</v>
      </c>
      <c r="B78" t="str">
        <f t="shared" si="9"/>
        <v>2015/12</v>
      </c>
      <c r="C78" t="str">
        <f t="shared" si="5"/>
        <v>2015/03</v>
      </c>
      <c r="D78">
        <f t="shared" si="6"/>
        <v>2015</v>
      </c>
      <c r="E78" t="str">
        <f t="shared" si="7"/>
        <v/>
      </c>
      <c r="F78" s="2" t="str">
        <f t="shared" si="8"/>
        <v>INSERT INTO Master_Calendar (Date, Week, Month, Year, Holiday, XmlMeta) VALUES(N'2015-03-16', N'2015/12', N'2015/03', N'2015', N'', N'&lt;Root&gt;&lt;/Root&gt;')</v>
      </c>
    </row>
    <row r="79" spans="1:6" x14ac:dyDescent="0.25">
      <c r="A79" s="7">
        <v>42080</v>
      </c>
      <c r="B79" t="str">
        <f t="shared" si="9"/>
        <v>2015/12</v>
      </c>
      <c r="C79" t="str">
        <f t="shared" si="5"/>
        <v>2015/03</v>
      </c>
      <c r="D79">
        <f t="shared" si="6"/>
        <v>2015</v>
      </c>
      <c r="E79" t="str">
        <f t="shared" si="7"/>
        <v/>
      </c>
      <c r="F79" s="2" t="str">
        <f t="shared" si="8"/>
        <v>INSERT INTO Master_Calendar (Date, Week, Month, Year, Holiday, XmlMeta) VALUES(N'2015-03-17', N'2015/12', N'2015/03', N'2015', N'', N'&lt;Root&gt;&lt;/Root&gt;')</v>
      </c>
    </row>
    <row r="80" spans="1:6" x14ac:dyDescent="0.25">
      <c r="A80" s="7">
        <v>42081</v>
      </c>
      <c r="B80" t="str">
        <f t="shared" si="9"/>
        <v>2015/12</v>
      </c>
      <c r="C80" t="str">
        <f t="shared" si="5"/>
        <v>2015/03</v>
      </c>
      <c r="D80">
        <f t="shared" si="6"/>
        <v>2015</v>
      </c>
      <c r="E80" t="str">
        <f t="shared" si="7"/>
        <v/>
      </c>
      <c r="F80" s="2" t="str">
        <f t="shared" si="8"/>
        <v>INSERT INTO Master_Calendar (Date, Week, Month, Year, Holiday, XmlMeta) VALUES(N'2015-03-18', N'2015/12', N'2015/03', N'2015', N'', N'&lt;Root&gt;&lt;/Root&gt;')</v>
      </c>
    </row>
    <row r="81" spans="1:6" x14ac:dyDescent="0.25">
      <c r="A81" s="7">
        <v>42082</v>
      </c>
      <c r="B81" t="str">
        <f t="shared" si="9"/>
        <v>2015/12</v>
      </c>
      <c r="C81" t="str">
        <f t="shared" si="5"/>
        <v>2015/03</v>
      </c>
      <c r="D81">
        <f t="shared" si="6"/>
        <v>2015</v>
      </c>
      <c r="E81" t="str">
        <f t="shared" si="7"/>
        <v/>
      </c>
      <c r="F81" s="2" t="str">
        <f t="shared" si="8"/>
        <v>INSERT INTO Master_Calendar (Date, Week, Month, Year, Holiday, XmlMeta) VALUES(N'2015-03-19', N'2015/12', N'2015/03', N'2015', N'', N'&lt;Root&gt;&lt;/Root&gt;')</v>
      </c>
    </row>
    <row r="82" spans="1:6" x14ac:dyDescent="0.25">
      <c r="A82" s="7">
        <v>42083</v>
      </c>
      <c r="B82" t="str">
        <f t="shared" si="9"/>
        <v>2015/12</v>
      </c>
      <c r="C82" t="str">
        <f t="shared" si="5"/>
        <v>2015/03</v>
      </c>
      <c r="D82">
        <f t="shared" si="6"/>
        <v>2015</v>
      </c>
      <c r="E82" t="str">
        <f t="shared" si="7"/>
        <v/>
      </c>
      <c r="F82" s="2" t="str">
        <f t="shared" si="8"/>
        <v>INSERT INTO Master_Calendar (Date, Week, Month, Year, Holiday, XmlMeta) VALUES(N'2015-03-20', N'2015/12', N'2015/03', N'2015', N'', N'&lt;Root&gt;&lt;/Root&gt;')</v>
      </c>
    </row>
    <row r="83" spans="1:6" x14ac:dyDescent="0.25">
      <c r="A83" s="7">
        <v>42084</v>
      </c>
      <c r="B83" t="str">
        <f t="shared" si="9"/>
        <v>2015/12</v>
      </c>
      <c r="C83" t="str">
        <f t="shared" si="5"/>
        <v>2015/03</v>
      </c>
      <c r="D83">
        <f t="shared" si="6"/>
        <v>2015</v>
      </c>
      <c r="E83" t="str">
        <f t="shared" si="7"/>
        <v>Thứ 7</v>
      </c>
      <c r="F83" s="2" t="str">
        <f t="shared" si="8"/>
        <v>INSERT INTO Master_Calendar (Date, Week, Month, Year, Holiday, XmlMeta) VALUES(N'2015-03-21', N'2015/12', N'2015/03', N'2015', N'Thứ 7', N'&lt;Root&gt;&lt;/Root&gt;')</v>
      </c>
    </row>
    <row r="84" spans="1:6" x14ac:dyDescent="0.25">
      <c r="A84" s="7">
        <v>42085</v>
      </c>
      <c r="B84" t="str">
        <f t="shared" si="9"/>
        <v>2015/12</v>
      </c>
      <c r="C84" t="str">
        <f t="shared" si="5"/>
        <v>2015/03</v>
      </c>
      <c r="D84">
        <f t="shared" si="6"/>
        <v>2015</v>
      </c>
      <c r="E84" t="str">
        <f t="shared" si="7"/>
        <v>Chủ nhật</v>
      </c>
      <c r="F84" s="2" t="str">
        <f t="shared" si="8"/>
        <v>INSERT INTO Master_Calendar (Date, Week, Month, Year, Holiday, XmlMeta) VALUES(N'2015-03-22', N'2015/12', N'2015/03', N'2015', N'Chủ nhật', N'&lt;Root&gt;&lt;/Root&gt;')</v>
      </c>
    </row>
    <row r="85" spans="1:6" x14ac:dyDescent="0.25">
      <c r="A85" s="7">
        <v>42086</v>
      </c>
      <c r="B85" t="str">
        <f t="shared" si="9"/>
        <v>2015/13</v>
      </c>
      <c r="C85" t="str">
        <f t="shared" si="5"/>
        <v>2015/03</v>
      </c>
      <c r="D85">
        <f t="shared" si="6"/>
        <v>2015</v>
      </c>
      <c r="E85" t="str">
        <f t="shared" si="7"/>
        <v/>
      </c>
      <c r="F85" s="2" t="str">
        <f t="shared" si="8"/>
        <v>INSERT INTO Master_Calendar (Date, Week, Month, Year, Holiday, XmlMeta) VALUES(N'2015-03-23', N'2015/13', N'2015/03', N'2015', N'', N'&lt;Root&gt;&lt;/Root&gt;')</v>
      </c>
    </row>
    <row r="86" spans="1:6" x14ac:dyDescent="0.25">
      <c r="A86" s="7">
        <v>42087</v>
      </c>
      <c r="B86" t="str">
        <f t="shared" si="9"/>
        <v>2015/13</v>
      </c>
      <c r="C86" t="str">
        <f t="shared" si="5"/>
        <v>2015/03</v>
      </c>
      <c r="D86">
        <f t="shared" si="6"/>
        <v>2015</v>
      </c>
      <c r="E86" t="str">
        <f t="shared" si="7"/>
        <v/>
      </c>
      <c r="F86" s="2" t="str">
        <f t="shared" si="8"/>
        <v>INSERT INTO Master_Calendar (Date, Week, Month, Year, Holiday, XmlMeta) VALUES(N'2015-03-24', N'2015/13', N'2015/03', N'2015', N'', N'&lt;Root&gt;&lt;/Root&gt;')</v>
      </c>
    </row>
    <row r="87" spans="1:6" x14ac:dyDescent="0.25">
      <c r="A87" s="7">
        <v>42088</v>
      </c>
      <c r="B87" t="str">
        <f t="shared" si="9"/>
        <v>2015/13</v>
      </c>
      <c r="C87" t="str">
        <f t="shared" si="5"/>
        <v>2015/03</v>
      </c>
      <c r="D87">
        <f t="shared" si="6"/>
        <v>2015</v>
      </c>
      <c r="E87" t="str">
        <f t="shared" si="7"/>
        <v/>
      </c>
      <c r="F87" s="2" t="str">
        <f t="shared" si="8"/>
        <v>INSERT INTO Master_Calendar (Date, Week, Month, Year, Holiday, XmlMeta) VALUES(N'2015-03-25', N'2015/13', N'2015/03', N'2015', N'', N'&lt;Root&gt;&lt;/Root&gt;')</v>
      </c>
    </row>
    <row r="88" spans="1:6" x14ac:dyDescent="0.25">
      <c r="A88" s="7">
        <v>42089</v>
      </c>
      <c r="B88" t="str">
        <f t="shared" si="9"/>
        <v>2015/13</v>
      </c>
      <c r="C88" t="str">
        <f t="shared" si="5"/>
        <v>2015/03</v>
      </c>
      <c r="D88">
        <f t="shared" si="6"/>
        <v>2015</v>
      </c>
      <c r="E88" t="str">
        <f t="shared" si="7"/>
        <v/>
      </c>
      <c r="F88" s="2" t="str">
        <f t="shared" si="8"/>
        <v>INSERT INTO Master_Calendar (Date, Week, Month, Year, Holiday, XmlMeta) VALUES(N'2015-03-26', N'2015/13', N'2015/03', N'2015', N'', N'&lt;Root&gt;&lt;/Root&gt;')</v>
      </c>
    </row>
    <row r="89" spans="1:6" x14ac:dyDescent="0.25">
      <c r="A89" s="7">
        <v>42090</v>
      </c>
      <c r="B89" t="str">
        <f t="shared" si="9"/>
        <v>2015/13</v>
      </c>
      <c r="C89" t="str">
        <f t="shared" si="5"/>
        <v>2015/03</v>
      </c>
      <c r="D89">
        <f t="shared" si="6"/>
        <v>2015</v>
      </c>
      <c r="E89" t="str">
        <f t="shared" si="7"/>
        <v/>
      </c>
      <c r="F89" s="2" t="str">
        <f t="shared" si="8"/>
        <v>INSERT INTO Master_Calendar (Date, Week, Month, Year, Holiday, XmlMeta) VALUES(N'2015-03-27', N'2015/13', N'2015/03', N'2015', N'', N'&lt;Root&gt;&lt;/Root&gt;')</v>
      </c>
    </row>
    <row r="90" spans="1:6" x14ac:dyDescent="0.25">
      <c r="A90" s="7">
        <v>42091</v>
      </c>
      <c r="B90" t="str">
        <f t="shared" si="9"/>
        <v>2015/13</v>
      </c>
      <c r="C90" t="str">
        <f t="shared" si="5"/>
        <v>2015/03</v>
      </c>
      <c r="D90">
        <f t="shared" si="6"/>
        <v>2015</v>
      </c>
      <c r="E90" t="str">
        <f t="shared" si="7"/>
        <v>Thứ 7</v>
      </c>
      <c r="F90" s="2" t="str">
        <f t="shared" si="8"/>
        <v>INSERT INTO Master_Calendar (Date, Week, Month, Year, Holiday, XmlMeta) VALUES(N'2015-03-28', N'2015/13', N'2015/03', N'2015', N'Thứ 7', N'&lt;Root&gt;&lt;/Root&gt;')</v>
      </c>
    </row>
    <row r="91" spans="1:6" x14ac:dyDescent="0.25">
      <c r="A91" s="7">
        <v>42092</v>
      </c>
      <c r="B91" t="str">
        <f t="shared" si="9"/>
        <v>2015/13</v>
      </c>
      <c r="C91" t="str">
        <f t="shared" si="5"/>
        <v>2015/03</v>
      </c>
      <c r="D91">
        <f t="shared" si="6"/>
        <v>2015</v>
      </c>
      <c r="E91" t="str">
        <f t="shared" si="7"/>
        <v>Chủ nhật</v>
      </c>
      <c r="F91" s="2" t="str">
        <f t="shared" si="8"/>
        <v>INSERT INTO Master_Calendar (Date, Week, Month, Year, Holiday, XmlMeta) VALUES(N'2015-03-29', N'2015/13', N'2015/03', N'2015', N'Chủ nhật', N'&lt;Root&gt;&lt;/Root&gt;')</v>
      </c>
    </row>
    <row r="92" spans="1:6" x14ac:dyDescent="0.25">
      <c r="A92" s="7">
        <v>42093</v>
      </c>
      <c r="B92" t="str">
        <f t="shared" si="9"/>
        <v>2015/14</v>
      </c>
      <c r="C92" t="str">
        <f t="shared" si="5"/>
        <v>2015/03</v>
      </c>
      <c r="D92">
        <f t="shared" si="6"/>
        <v>2015</v>
      </c>
      <c r="E92" t="str">
        <f t="shared" si="7"/>
        <v/>
      </c>
      <c r="F92" s="2" t="str">
        <f t="shared" si="8"/>
        <v>INSERT INTO Master_Calendar (Date, Week, Month, Year, Holiday, XmlMeta) VALUES(N'2015-03-30', N'2015/14', N'2015/03', N'2015', N'', N'&lt;Root&gt;&lt;/Root&gt;')</v>
      </c>
    </row>
    <row r="93" spans="1:6" x14ac:dyDescent="0.25">
      <c r="A93" s="7">
        <v>42094</v>
      </c>
      <c r="B93" t="str">
        <f t="shared" si="9"/>
        <v>2015/14</v>
      </c>
      <c r="C93" t="str">
        <f t="shared" si="5"/>
        <v>2015/03</v>
      </c>
      <c r="D93">
        <f t="shared" si="6"/>
        <v>2015</v>
      </c>
      <c r="E93" t="str">
        <f t="shared" si="7"/>
        <v/>
      </c>
      <c r="F93" s="2" t="str">
        <f t="shared" si="8"/>
        <v>INSERT INTO Master_Calendar (Date, Week, Month, Year, Holiday, XmlMeta) VALUES(N'2015-03-31', N'2015/14', N'2015/03', N'2015', N'', N'&lt;Root&gt;&lt;/Root&gt;')</v>
      </c>
    </row>
    <row r="94" spans="1:6" x14ac:dyDescent="0.25">
      <c r="A94" s="7">
        <v>42095</v>
      </c>
      <c r="B94" t="str">
        <f t="shared" si="9"/>
        <v>2015/14</v>
      </c>
      <c r="C94" t="str">
        <f t="shared" si="5"/>
        <v>2015/04</v>
      </c>
      <c r="D94">
        <f t="shared" si="6"/>
        <v>2015</v>
      </c>
      <c r="E94" t="str">
        <f t="shared" si="7"/>
        <v/>
      </c>
      <c r="F94" s="2" t="str">
        <f t="shared" si="8"/>
        <v>INSERT INTO Master_Calendar (Date, Week, Month, Year, Holiday, XmlMeta) VALUES(N'2015-04-01', N'2015/14', N'2015/04', N'2015', N'', N'&lt;Root&gt;&lt;/Root&gt;')</v>
      </c>
    </row>
    <row r="95" spans="1:6" x14ac:dyDescent="0.25">
      <c r="A95" s="7">
        <v>42096</v>
      </c>
      <c r="B95" t="str">
        <f t="shared" si="9"/>
        <v>2015/14</v>
      </c>
      <c r="C95" t="str">
        <f t="shared" si="5"/>
        <v>2015/04</v>
      </c>
      <c r="D95">
        <f t="shared" si="6"/>
        <v>2015</v>
      </c>
      <c r="E95" t="str">
        <f t="shared" si="7"/>
        <v/>
      </c>
      <c r="F95" s="2" t="str">
        <f t="shared" si="8"/>
        <v>INSERT INTO Master_Calendar (Date, Week, Month, Year, Holiday, XmlMeta) VALUES(N'2015-04-02', N'2015/14', N'2015/04', N'2015', N'', N'&lt;Root&gt;&lt;/Root&gt;')</v>
      </c>
    </row>
    <row r="96" spans="1:6" x14ac:dyDescent="0.25">
      <c r="A96" s="7">
        <v>42097</v>
      </c>
      <c r="B96" t="str">
        <f t="shared" si="9"/>
        <v>2015/14</v>
      </c>
      <c r="C96" t="str">
        <f t="shared" si="5"/>
        <v>2015/04</v>
      </c>
      <c r="D96">
        <f t="shared" si="6"/>
        <v>2015</v>
      </c>
      <c r="E96" t="str">
        <f t="shared" si="7"/>
        <v/>
      </c>
      <c r="F96" s="2" t="str">
        <f t="shared" si="8"/>
        <v>INSERT INTO Master_Calendar (Date, Week, Month, Year, Holiday, XmlMeta) VALUES(N'2015-04-03', N'2015/14', N'2015/04', N'2015', N'', N'&lt;Root&gt;&lt;/Root&gt;')</v>
      </c>
    </row>
    <row r="97" spans="1:6" x14ac:dyDescent="0.25">
      <c r="A97" s="7">
        <v>42098</v>
      </c>
      <c r="B97" t="str">
        <f t="shared" si="9"/>
        <v>2015/14</v>
      </c>
      <c r="C97" t="str">
        <f t="shared" si="5"/>
        <v>2015/04</v>
      </c>
      <c r="D97">
        <f t="shared" si="6"/>
        <v>2015</v>
      </c>
      <c r="E97" t="str">
        <f t="shared" si="7"/>
        <v>Thứ 7</v>
      </c>
      <c r="F97" s="2" t="str">
        <f t="shared" si="8"/>
        <v>INSERT INTO Master_Calendar (Date, Week, Month, Year, Holiday, XmlMeta) VALUES(N'2015-04-04', N'2015/14', N'2015/04', N'2015', N'Thứ 7', N'&lt;Root&gt;&lt;/Root&gt;')</v>
      </c>
    </row>
    <row r="98" spans="1:6" x14ac:dyDescent="0.25">
      <c r="A98" s="7">
        <v>42099</v>
      </c>
      <c r="B98" t="str">
        <f t="shared" si="9"/>
        <v>2015/14</v>
      </c>
      <c r="C98" t="str">
        <f t="shared" si="5"/>
        <v>2015/04</v>
      </c>
      <c r="D98">
        <f t="shared" si="6"/>
        <v>2015</v>
      </c>
      <c r="E98" t="str">
        <f t="shared" si="7"/>
        <v>Chủ nhật</v>
      </c>
      <c r="F98" s="2" t="str">
        <f t="shared" si="8"/>
        <v>INSERT INTO Master_Calendar (Date, Week, Month, Year, Holiday, XmlMeta) VALUES(N'2015-04-05', N'2015/14', N'2015/04', N'2015', N'Chủ nhật', N'&lt;Root&gt;&lt;/Root&gt;')</v>
      </c>
    </row>
    <row r="99" spans="1:6" x14ac:dyDescent="0.25">
      <c r="A99" s="7">
        <v>42100</v>
      </c>
      <c r="B99" t="str">
        <f t="shared" si="9"/>
        <v>2015/15</v>
      </c>
      <c r="C99" t="str">
        <f t="shared" si="5"/>
        <v>2015/04</v>
      </c>
      <c r="D99">
        <f t="shared" si="6"/>
        <v>2015</v>
      </c>
      <c r="E99" t="str">
        <f t="shared" si="7"/>
        <v/>
      </c>
      <c r="F99" s="2" t="str">
        <f t="shared" si="8"/>
        <v>INSERT INTO Master_Calendar (Date, Week, Month, Year, Holiday, XmlMeta) VALUES(N'2015-04-06', N'2015/15', N'2015/04', N'2015', N'', N'&lt;Root&gt;&lt;/Root&gt;')</v>
      </c>
    </row>
    <row r="100" spans="1:6" x14ac:dyDescent="0.25">
      <c r="A100" s="7">
        <v>42101</v>
      </c>
      <c r="B100" t="str">
        <f t="shared" si="9"/>
        <v>2015/15</v>
      </c>
      <c r="C100" t="str">
        <f t="shared" si="5"/>
        <v>2015/04</v>
      </c>
      <c r="D100">
        <f t="shared" si="6"/>
        <v>2015</v>
      </c>
      <c r="E100" t="str">
        <f t="shared" si="7"/>
        <v/>
      </c>
      <c r="F100" s="2" t="str">
        <f t="shared" si="8"/>
        <v>INSERT INTO Master_Calendar (Date, Week, Month, Year, Holiday, XmlMeta) VALUES(N'2015-04-07', N'2015/15', N'2015/04', N'2015', N'', N'&lt;Root&gt;&lt;/Root&gt;')</v>
      </c>
    </row>
    <row r="101" spans="1:6" x14ac:dyDescent="0.25">
      <c r="A101" s="7">
        <v>42102</v>
      </c>
      <c r="B101" t="str">
        <f t="shared" si="9"/>
        <v>2015/15</v>
      </c>
      <c r="C101" t="str">
        <f t="shared" si="5"/>
        <v>2015/04</v>
      </c>
      <c r="D101">
        <f t="shared" si="6"/>
        <v>2015</v>
      </c>
      <c r="E101" t="str">
        <f t="shared" si="7"/>
        <v/>
      </c>
      <c r="F101" s="2" t="str">
        <f t="shared" si="8"/>
        <v>INSERT INTO Master_Calendar (Date, Week, Month, Year, Holiday, XmlMeta) VALUES(N'2015-04-08', N'2015/15', N'2015/04', N'2015', N'', N'&lt;Root&gt;&lt;/Root&gt;')</v>
      </c>
    </row>
    <row r="102" spans="1:6" x14ac:dyDescent="0.25">
      <c r="A102" s="7">
        <v>42103</v>
      </c>
      <c r="B102" t="str">
        <f t="shared" si="9"/>
        <v>2015/15</v>
      </c>
      <c r="C102" t="str">
        <f t="shared" si="5"/>
        <v>2015/04</v>
      </c>
      <c r="D102">
        <f t="shared" si="6"/>
        <v>2015</v>
      </c>
      <c r="E102" t="str">
        <f t="shared" si="7"/>
        <v/>
      </c>
      <c r="F102" s="2" t="str">
        <f t="shared" si="8"/>
        <v>INSERT INTO Master_Calendar (Date, Week, Month, Year, Holiday, XmlMeta) VALUES(N'2015-04-09', N'2015/15', N'2015/04', N'2015', N'', N'&lt;Root&gt;&lt;/Root&gt;')</v>
      </c>
    </row>
    <row r="103" spans="1:6" x14ac:dyDescent="0.25">
      <c r="A103" s="7">
        <v>42104</v>
      </c>
      <c r="B103" t="str">
        <f t="shared" si="9"/>
        <v>2015/15</v>
      </c>
      <c r="C103" t="str">
        <f t="shared" si="5"/>
        <v>2015/04</v>
      </c>
      <c r="D103">
        <f t="shared" si="6"/>
        <v>2015</v>
      </c>
      <c r="E103" t="str">
        <f t="shared" si="7"/>
        <v/>
      </c>
      <c r="F103" s="2" t="str">
        <f t="shared" si="8"/>
        <v>INSERT INTO Master_Calendar (Date, Week, Month, Year, Holiday, XmlMeta) VALUES(N'2015-04-10', N'2015/15', N'2015/04', N'2015', N'', N'&lt;Root&gt;&lt;/Root&gt;')</v>
      </c>
    </row>
    <row r="104" spans="1:6" x14ac:dyDescent="0.25">
      <c r="A104" s="7">
        <v>42105</v>
      </c>
      <c r="B104" t="str">
        <f t="shared" si="9"/>
        <v>2015/15</v>
      </c>
      <c r="C104" t="str">
        <f t="shared" si="5"/>
        <v>2015/04</v>
      </c>
      <c r="D104">
        <f t="shared" si="6"/>
        <v>2015</v>
      </c>
      <c r="E104" t="str">
        <f t="shared" si="7"/>
        <v>Thứ 7</v>
      </c>
      <c r="F104" s="2" t="str">
        <f t="shared" si="8"/>
        <v>INSERT INTO Master_Calendar (Date, Week, Month, Year, Holiday, XmlMeta) VALUES(N'2015-04-11', N'2015/15', N'2015/04', N'2015', N'Thứ 7', N'&lt;Root&gt;&lt;/Root&gt;')</v>
      </c>
    </row>
    <row r="105" spans="1:6" x14ac:dyDescent="0.25">
      <c r="A105" s="7">
        <v>42106</v>
      </c>
      <c r="B105" t="str">
        <f t="shared" si="9"/>
        <v>2015/15</v>
      </c>
      <c r="C105" t="str">
        <f t="shared" si="5"/>
        <v>2015/04</v>
      </c>
      <c r="D105">
        <f t="shared" si="6"/>
        <v>2015</v>
      </c>
      <c r="E105" t="str">
        <f t="shared" si="7"/>
        <v>Chủ nhật</v>
      </c>
      <c r="F105" s="2" t="str">
        <f t="shared" si="8"/>
        <v>INSERT INTO Master_Calendar (Date, Week, Month, Year, Holiday, XmlMeta) VALUES(N'2015-04-12', N'2015/15', N'2015/04', N'2015', N'Chủ nhật', N'&lt;Root&gt;&lt;/Root&gt;')</v>
      </c>
    </row>
    <row r="106" spans="1:6" x14ac:dyDescent="0.25">
      <c r="A106" s="7">
        <v>42107</v>
      </c>
      <c r="B106" t="str">
        <f t="shared" si="9"/>
        <v>2015/16</v>
      </c>
      <c r="C106" t="str">
        <f t="shared" si="5"/>
        <v>2015/04</v>
      </c>
      <c r="D106">
        <f t="shared" si="6"/>
        <v>2015</v>
      </c>
      <c r="E106" t="str">
        <f t="shared" si="7"/>
        <v/>
      </c>
      <c r="F106" s="2" t="str">
        <f t="shared" si="8"/>
        <v>INSERT INTO Master_Calendar (Date, Week, Month, Year, Holiday, XmlMeta) VALUES(N'2015-04-13', N'2015/16', N'2015/04', N'2015', N'', N'&lt;Root&gt;&lt;/Root&gt;')</v>
      </c>
    </row>
    <row r="107" spans="1:6" x14ac:dyDescent="0.25">
      <c r="A107" s="7">
        <v>42108</v>
      </c>
      <c r="B107" t="str">
        <f t="shared" si="9"/>
        <v>2015/16</v>
      </c>
      <c r="C107" t="str">
        <f t="shared" si="5"/>
        <v>2015/04</v>
      </c>
      <c r="D107">
        <f t="shared" si="6"/>
        <v>2015</v>
      </c>
      <c r="E107" t="str">
        <f t="shared" si="7"/>
        <v/>
      </c>
      <c r="F107" s="2" t="str">
        <f t="shared" si="8"/>
        <v>INSERT INTO Master_Calendar (Date, Week, Month, Year, Holiday, XmlMeta) VALUES(N'2015-04-14', N'2015/16', N'2015/04', N'2015', N'', N'&lt;Root&gt;&lt;/Root&gt;')</v>
      </c>
    </row>
    <row r="108" spans="1:6" x14ac:dyDescent="0.25">
      <c r="A108" s="7">
        <v>42109</v>
      </c>
      <c r="B108" t="str">
        <f t="shared" si="9"/>
        <v>2015/16</v>
      </c>
      <c r="C108" t="str">
        <f t="shared" si="5"/>
        <v>2015/04</v>
      </c>
      <c r="D108">
        <f t="shared" si="6"/>
        <v>2015</v>
      </c>
      <c r="E108" t="str">
        <f t="shared" si="7"/>
        <v/>
      </c>
      <c r="F108" s="2" t="str">
        <f t="shared" si="8"/>
        <v>INSERT INTO Master_Calendar (Date, Week, Month, Year, Holiday, XmlMeta) VALUES(N'2015-04-15', N'2015/16', N'2015/04', N'2015', N'', N'&lt;Root&gt;&lt;/Root&gt;')</v>
      </c>
    </row>
    <row r="109" spans="1:6" x14ac:dyDescent="0.25">
      <c r="A109" s="7">
        <v>42110</v>
      </c>
      <c r="B109" t="str">
        <f t="shared" si="9"/>
        <v>2015/16</v>
      </c>
      <c r="C109" t="str">
        <f t="shared" si="5"/>
        <v>2015/04</v>
      </c>
      <c r="D109">
        <f t="shared" si="6"/>
        <v>2015</v>
      </c>
      <c r="E109" t="str">
        <f t="shared" si="7"/>
        <v/>
      </c>
      <c r="F109" s="2" t="str">
        <f t="shared" si="8"/>
        <v>INSERT INTO Master_Calendar (Date, Week, Month, Year, Holiday, XmlMeta) VALUES(N'2015-04-16', N'2015/16', N'2015/04', N'2015', N'', N'&lt;Root&gt;&lt;/Root&gt;')</v>
      </c>
    </row>
    <row r="110" spans="1:6" x14ac:dyDescent="0.25">
      <c r="A110" s="7">
        <v>42111</v>
      </c>
      <c r="B110" t="str">
        <f t="shared" si="9"/>
        <v>2015/16</v>
      </c>
      <c r="C110" t="str">
        <f t="shared" si="5"/>
        <v>2015/04</v>
      </c>
      <c r="D110">
        <f t="shared" si="6"/>
        <v>2015</v>
      </c>
      <c r="E110" t="str">
        <f t="shared" si="7"/>
        <v/>
      </c>
      <c r="F110" s="2" t="str">
        <f t="shared" si="8"/>
        <v>INSERT INTO Master_Calendar (Date, Week, Month, Year, Holiday, XmlMeta) VALUES(N'2015-04-17', N'2015/16', N'2015/04', N'2015', N'', N'&lt;Root&gt;&lt;/Root&gt;')</v>
      </c>
    </row>
    <row r="111" spans="1:6" x14ac:dyDescent="0.25">
      <c r="A111" s="7">
        <v>42112</v>
      </c>
      <c r="B111" t="str">
        <f t="shared" si="9"/>
        <v>2015/16</v>
      </c>
      <c r="C111" t="str">
        <f t="shared" si="5"/>
        <v>2015/04</v>
      </c>
      <c r="D111">
        <f t="shared" si="6"/>
        <v>2015</v>
      </c>
      <c r="E111" t="str">
        <f t="shared" si="7"/>
        <v>Thứ 7</v>
      </c>
      <c r="F111" s="2" t="str">
        <f t="shared" si="8"/>
        <v>INSERT INTO Master_Calendar (Date, Week, Month, Year, Holiday, XmlMeta) VALUES(N'2015-04-18', N'2015/16', N'2015/04', N'2015', N'Thứ 7', N'&lt;Root&gt;&lt;/Root&gt;')</v>
      </c>
    </row>
    <row r="112" spans="1:6" x14ac:dyDescent="0.25">
      <c r="A112" s="7">
        <v>42113</v>
      </c>
      <c r="B112" t="str">
        <f t="shared" si="9"/>
        <v>2015/16</v>
      </c>
      <c r="C112" t="str">
        <f t="shared" si="5"/>
        <v>2015/04</v>
      </c>
      <c r="D112">
        <f t="shared" si="6"/>
        <v>2015</v>
      </c>
      <c r="E112" t="str">
        <f t="shared" si="7"/>
        <v>Chủ nhật</v>
      </c>
      <c r="F112" s="2" t="str">
        <f t="shared" si="8"/>
        <v>INSERT INTO Master_Calendar (Date, Week, Month, Year, Holiday, XmlMeta) VALUES(N'2015-04-19', N'2015/16', N'2015/04', N'2015', N'Chủ nhật', N'&lt;Root&gt;&lt;/Root&gt;')</v>
      </c>
    </row>
    <row r="113" spans="1:6" x14ac:dyDescent="0.25">
      <c r="A113" s="7">
        <v>42114</v>
      </c>
      <c r="B113" t="str">
        <f t="shared" si="9"/>
        <v>2015/17</v>
      </c>
      <c r="C113" t="str">
        <f t="shared" si="5"/>
        <v>2015/04</v>
      </c>
      <c r="D113">
        <f t="shared" si="6"/>
        <v>2015</v>
      </c>
      <c r="E113" t="str">
        <f t="shared" si="7"/>
        <v/>
      </c>
      <c r="F113" s="2" t="str">
        <f t="shared" si="8"/>
        <v>INSERT INTO Master_Calendar (Date, Week, Month, Year, Holiday, XmlMeta) VALUES(N'2015-04-20', N'2015/17', N'2015/04', N'2015', N'', N'&lt;Root&gt;&lt;/Root&gt;')</v>
      </c>
    </row>
    <row r="114" spans="1:6" x14ac:dyDescent="0.25">
      <c r="A114" s="7">
        <v>42115</v>
      </c>
      <c r="B114" t="str">
        <f t="shared" si="9"/>
        <v>2015/17</v>
      </c>
      <c r="C114" t="str">
        <f t="shared" si="5"/>
        <v>2015/04</v>
      </c>
      <c r="D114">
        <f t="shared" si="6"/>
        <v>2015</v>
      </c>
      <c r="E114" t="str">
        <f t="shared" si="7"/>
        <v/>
      </c>
      <c r="F114" s="2" t="str">
        <f t="shared" si="8"/>
        <v>INSERT INTO Master_Calendar (Date, Week, Month, Year, Holiday, XmlMeta) VALUES(N'2015-04-21', N'2015/17', N'2015/04', N'2015', N'', N'&lt;Root&gt;&lt;/Root&gt;')</v>
      </c>
    </row>
    <row r="115" spans="1:6" x14ac:dyDescent="0.25">
      <c r="A115" s="7">
        <v>42116</v>
      </c>
      <c r="B115" t="str">
        <f t="shared" si="9"/>
        <v>2015/17</v>
      </c>
      <c r="C115" t="str">
        <f t="shared" si="5"/>
        <v>2015/04</v>
      </c>
      <c r="D115">
        <f t="shared" si="6"/>
        <v>2015</v>
      </c>
      <c r="E115" t="str">
        <f t="shared" si="7"/>
        <v/>
      </c>
      <c r="F115" s="2" t="str">
        <f t="shared" si="8"/>
        <v>INSERT INTO Master_Calendar (Date, Week, Month, Year, Holiday, XmlMeta) VALUES(N'2015-04-22', N'2015/17', N'2015/04', N'2015', N'', N'&lt;Root&gt;&lt;/Root&gt;')</v>
      </c>
    </row>
    <row r="116" spans="1:6" x14ac:dyDescent="0.25">
      <c r="A116" s="7">
        <v>42117</v>
      </c>
      <c r="B116" t="str">
        <f t="shared" si="9"/>
        <v>2015/17</v>
      </c>
      <c r="C116" t="str">
        <f t="shared" si="5"/>
        <v>2015/04</v>
      </c>
      <c r="D116">
        <f t="shared" si="6"/>
        <v>2015</v>
      </c>
      <c r="E116" t="str">
        <f t="shared" si="7"/>
        <v/>
      </c>
      <c r="F116" s="2" t="str">
        <f t="shared" si="8"/>
        <v>INSERT INTO Master_Calendar (Date, Week, Month, Year, Holiday, XmlMeta) VALUES(N'2015-04-23', N'2015/17', N'2015/04', N'2015', N'', N'&lt;Root&gt;&lt;/Root&gt;')</v>
      </c>
    </row>
    <row r="117" spans="1:6" x14ac:dyDescent="0.25">
      <c r="A117" s="7">
        <v>42118</v>
      </c>
      <c r="B117" t="str">
        <f t="shared" si="9"/>
        <v>2015/17</v>
      </c>
      <c r="C117" t="str">
        <f t="shared" si="5"/>
        <v>2015/04</v>
      </c>
      <c r="D117">
        <f t="shared" si="6"/>
        <v>2015</v>
      </c>
      <c r="E117" t="str">
        <f t="shared" si="7"/>
        <v/>
      </c>
      <c r="F117" s="2" t="str">
        <f t="shared" si="8"/>
        <v>INSERT INTO Master_Calendar (Date, Week, Month, Year, Holiday, XmlMeta) VALUES(N'2015-04-24', N'2015/17', N'2015/04', N'2015', N'', N'&lt;Root&gt;&lt;/Root&gt;')</v>
      </c>
    </row>
    <row r="118" spans="1:6" x14ac:dyDescent="0.25">
      <c r="A118" s="7">
        <v>42119</v>
      </c>
      <c r="B118" t="str">
        <f t="shared" si="9"/>
        <v>2015/17</v>
      </c>
      <c r="C118" t="str">
        <f t="shared" si="5"/>
        <v>2015/04</v>
      </c>
      <c r="D118">
        <f t="shared" si="6"/>
        <v>2015</v>
      </c>
      <c r="E118" t="str">
        <f t="shared" si="7"/>
        <v>Thứ 7</v>
      </c>
      <c r="F118" s="2" t="str">
        <f t="shared" si="8"/>
        <v>INSERT INTO Master_Calendar (Date, Week, Month, Year, Holiday, XmlMeta) VALUES(N'2015-04-25', N'2015/17', N'2015/04', N'2015', N'Thứ 7', N'&lt;Root&gt;&lt;/Root&gt;')</v>
      </c>
    </row>
    <row r="119" spans="1:6" x14ac:dyDescent="0.25">
      <c r="A119" s="7">
        <v>42120</v>
      </c>
      <c r="B119" t="str">
        <f t="shared" si="9"/>
        <v>2015/17</v>
      </c>
      <c r="C119" t="str">
        <f t="shared" si="5"/>
        <v>2015/04</v>
      </c>
      <c r="D119">
        <f t="shared" si="6"/>
        <v>2015</v>
      </c>
      <c r="E119" t="str">
        <f t="shared" si="7"/>
        <v>Chủ nhật</v>
      </c>
      <c r="F119" s="2" t="str">
        <f t="shared" si="8"/>
        <v>INSERT INTO Master_Calendar (Date, Week, Month, Year, Holiday, XmlMeta) VALUES(N'2015-04-26', N'2015/17', N'2015/04', N'2015', N'Chủ nhật', N'&lt;Root&gt;&lt;/Root&gt;')</v>
      </c>
    </row>
    <row r="120" spans="1:6" x14ac:dyDescent="0.25">
      <c r="A120" s="7">
        <v>42121</v>
      </c>
      <c r="B120" t="str">
        <f t="shared" si="9"/>
        <v>2015/18</v>
      </c>
      <c r="C120" t="str">
        <f t="shared" si="5"/>
        <v>2015/04</v>
      </c>
      <c r="D120">
        <f t="shared" si="6"/>
        <v>2015</v>
      </c>
      <c r="E120" t="str">
        <f t="shared" si="7"/>
        <v/>
      </c>
      <c r="F120" s="2" t="str">
        <f t="shared" si="8"/>
        <v>INSERT INTO Master_Calendar (Date, Week, Month, Year, Holiday, XmlMeta) VALUES(N'2015-04-27', N'2015/18', N'2015/04', N'2015', N'', N'&lt;Root&gt;&lt;/Root&gt;')</v>
      </c>
    </row>
    <row r="121" spans="1:6" x14ac:dyDescent="0.25">
      <c r="A121" s="7">
        <v>42122</v>
      </c>
      <c r="B121" t="str">
        <f t="shared" si="9"/>
        <v>2015/18</v>
      </c>
      <c r="C121" t="str">
        <f t="shared" si="5"/>
        <v>2015/04</v>
      </c>
      <c r="D121">
        <f t="shared" si="6"/>
        <v>2015</v>
      </c>
      <c r="E121" t="str">
        <f t="shared" si="7"/>
        <v/>
      </c>
      <c r="F121" s="2" t="str">
        <f t="shared" si="8"/>
        <v>INSERT INTO Master_Calendar (Date, Week, Month, Year, Holiday, XmlMeta) VALUES(N'2015-04-28', N'2015/18', N'2015/04', N'2015', N'', N'&lt;Root&gt;&lt;/Root&gt;')</v>
      </c>
    </row>
    <row r="122" spans="1:6" x14ac:dyDescent="0.25">
      <c r="A122" s="7">
        <v>42123</v>
      </c>
      <c r="B122" t="str">
        <f t="shared" si="9"/>
        <v>2015/18</v>
      </c>
      <c r="C122" t="str">
        <f t="shared" si="5"/>
        <v>2015/04</v>
      </c>
      <c r="D122">
        <f t="shared" si="6"/>
        <v>2015</v>
      </c>
      <c r="E122" t="str">
        <f t="shared" si="7"/>
        <v/>
      </c>
      <c r="F122" s="2" t="str">
        <f t="shared" si="8"/>
        <v>INSERT INTO Master_Calendar (Date, Week, Month, Year, Holiday, XmlMeta) VALUES(N'2015-04-29', N'2015/18', N'2015/04', N'2015', N'', N'&lt;Root&gt;&lt;/Root&gt;')</v>
      </c>
    </row>
    <row r="123" spans="1:6" x14ac:dyDescent="0.25">
      <c r="A123" s="7">
        <v>42124</v>
      </c>
      <c r="B123" t="str">
        <f t="shared" si="9"/>
        <v>2015/18</v>
      </c>
      <c r="C123" t="str">
        <f t="shared" si="5"/>
        <v>2015/04</v>
      </c>
      <c r="D123">
        <f t="shared" si="6"/>
        <v>2015</v>
      </c>
      <c r="E123" t="str">
        <f t="shared" si="7"/>
        <v/>
      </c>
      <c r="F123" s="2" t="str">
        <f t="shared" si="8"/>
        <v>INSERT INTO Master_Calendar (Date, Week, Month, Year, Holiday, XmlMeta) VALUES(N'2015-04-30', N'2015/18', N'2015/04', N'2015', N'', N'&lt;Root&gt;&lt;/Root&gt;')</v>
      </c>
    </row>
    <row r="124" spans="1:6" x14ac:dyDescent="0.25">
      <c r="A124" s="7">
        <v>42125</v>
      </c>
      <c r="B124" t="str">
        <f t="shared" si="9"/>
        <v>2015/18</v>
      </c>
      <c r="C124" t="str">
        <f t="shared" si="5"/>
        <v>2015/05</v>
      </c>
      <c r="D124">
        <f t="shared" si="6"/>
        <v>2015</v>
      </c>
      <c r="E124" t="str">
        <f t="shared" si="7"/>
        <v/>
      </c>
      <c r="F124" s="2" t="str">
        <f t="shared" si="8"/>
        <v>INSERT INTO Master_Calendar (Date, Week, Month, Year, Holiday, XmlMeta) VALUES(N'2015-05-01', N'2015/18', N'2015/05', N'2015', N'', N'&lt;Root&gt;&lt;/Root&gt;')</v>
      </c>
    </row>
    <row r="125" spans="1:6" x14ac:dyDescent="0.25">
      <c r="A125" s="7">
        <v>42126</v>
      </c>
      <c r="B125" t="str">
        <f t="shared" si="9"/>
        <v>2015/18</v>
      </c>
      <c r="C125" t="str">
        <f t="shared" si="5"/>
        <v>2015/05</v>
      </c>
      <c r="D125">
        <f t="shared" si="6"/>
        <v>2015</v>
      </c>
      <c r="E125" t="str">
        <f t="shared" si="7"/>
        <v>Thứ 7</v>
      </c>
      <c r="F125" s="2" t="str">
        <f t="shared" si="8"/>
        <v>INSERT INTO Master_Calendar (Date, Week, Month, Year, Holiday, XmlMeta) VALUES(N'2015-05-02', N'2015/18', N'2015/05', N'2015', N'Thứ 7', N'&lt;Root&gt;&lt;/Root&gt;')</v>
      </c>
    </row>
    <row r="126" spans="1:6" x14ac:dyDescent="0.25">
      <c r="A126" s="7">
        <v>42127</v>
      </c>
      <c r="B126" t="str">
        <f t="shared" si="9"/>
        <v>2015/18</v>
      </c>
      <c r="C126" t="str">
        <f t="shared" si="5"/>
        <v>2015/05</v>
      </c>
      <c r="D126">
        <f t="shared" si="6"/>
        <v>2015</v>
      </c>
      <c r="E126" t="str">
        <f t="shared" si="7"/>
        <v>Chủ nhật</v>
      </c>
      <c r="F126" s="2" t="str">
        <f t="shared" si="8"/>
        <v>INSERT INTO Master_Calendar (Date, Week, Month, Year, Holiday, XmlMeta) VALUES(N'2015-05-03', N'2015/18', N'2015/05', N'2015', N'Chủ nhật', N'&lt;Root&gt;&lt;/Root&gt;')</v>
      </c>
    </row>
    <row r="127" spans="1:6" x14ac:dyDescent="0.25">
      <c r="A127" s="7">
        <v>42128</v>
      </c>
      <c r="B127" t="str">
        <f t="shared" si="9"/>
        <v>2015/19</v>
      </c>
      <c r="C127" t="str">
        <f t="shared" si="5"/>
        <v>2015/05</v>
      </c>
      <c r="D127">
        <f t="shared" si="6"/>
        <v>2015</v>
      </c>
      <c r="E127" t="str">
        <f t="shared" si="7"/>
        <v/>
      </c>
      <c r="F127" s="2" t="str">
        <f t="shared" si="8"/>
        <v>INSERT INTO Master_Calendar (Date, Week, Month, Year, Holiday, XmlMeta) VALUES(N'2015-05-04', N'2015/19', N'2015/05', N'2015', N'', N'&lt;Root&gt;&lt;/Root&gt;')</v>
      </c>
    </row>
    <row r="128" spans="1:6" x14ac:dyDescent="0.25">
      <c r="A128" s="7">
        <v>42129</v>
      </c>
      <c r="B128" t="str">
        <f t="shared" si="9"/>
        <v>2015/19</v>
      </c>
      <c r="C128" t="str">
        <f t="shared" si="5"/>
        <v>2015/05</v>
      </c>
      <c r="D128">
        <f t="shared" si="6"/>
        <v>2015</v>
      </c>
      <c r="E128" t="str">
        <f t="shared" si="7"/>
        <v/>
      </c>
      <c r="F128" s="2" t="str">
        <f t="shared" si="8"/>
        <v>INSERT INTO Master_Calendar (Date, Week, Month, Year, Holiday, XmlMeta) VALUES(N'2015-05-05', N'2015/19', N'2015/05', N'2015', N'', N'&lt;Root&gt;&lt;/Root&gt;')</v>
      </c>
    </row>
    <row r="129" spans="1:6" x14ac:dyDescent="0.25">
      <c r="A129" s="7">
        <v>42130</v>
      </c>
      <c r="B129" t="str">
        <f t="shared" si="9"/>
        <v>2015/19</v>
      </c>
      <c r="C129" t="str">
        <f t="shared" si="5"/>
        <v>2015/05</v>
      </c>
      <c r="D129">
        <f t="shared" si="6"/>
        <v>2015</v>
      </c>
      <c r="E129" t="str">
        <f t="shared" si="7"/>
        <v/>
      </c>
      <c r="F129" s="2" t="str">
        <f t="shared" si="8"/>
        <v>INSERT INTO Master_Calendar (Date, Week, Month, Year, Holiday, XmlMeta) VALUES(N'2015-05-06', N'2015/19', N'2015/05', N'2015', N'', N'&lt;Root&gt;&lt;/Root&gt;')</v>
      </c>
    </row>
    <row r="130" spans="1:6" x14ac:dyDescent="0.25">
      <c r="A130" s="7">
        <v>42131</v>
      </c>
      <c r="B130" t="str">
        <f t="shared" si="9"/>
        <v>2015/19</v>
      </c>
      <c r="C130" t="str">
        <f t="shared" si="5"/>
        <v>2015/05</v>
      </c>
      <c r="D130">
        <f t="shared" si="6"/>
        <v>2015</v>
      </c>
      <c r="E130" t="str">
        <f t="shared" si="7"/>
        <v/>
      </c>
      <c r="F130" s="2" t="str">
        <f t="shared" si="8"/>
        <v>INSERT INTO Master_Calendar (Date, Week, Month, Year, Holiday, XmlMeta) VALUES(N'2015-05-07', N'2015/19', N'2015/05', N'2015', N'', N'&lt;Root&gt;&lt;/Root&gt;')</v>
      </c>
    </row>
    <row r="131" spans="1:6" x14ac:dyDescent="0.25">
      <c r="A131" s="7">
        <v>42132</v>
      </c>
      <c r="B131" t="str">
        <f t="shared" si="9"/>
        <v>2015/19</v>
      </c>
      <c r="C131" t="str">
        <f t="shared" si="5"/>
        <v>2015/05</v>
      </c>
      <c r="D131">
        <f t="shared" si="6"/>
        <v>2015</v>
      </c>
      <c r="E131" t="str">
        <f t="shared" si="7"/>
        <v/>
      </c>
      <c r="F131" s="2" t="str">
        <f t="shared" si="8"/>
        <v>INSERT INTO Master_Calendar (Date, Week, Month, Year, Holiday, XmlMeta) VALUES(N'2015-05-08', N'2015/19', N'2015/05', N'2015', N'', N'&lt;Root&gt;&lt;/Root&gt;')</v>
      </c>
    </row>
    <row r="132" spans="1:6" x14ac:dyDescent="0.25">
      <c r="A132" s="7">
        <v>42133</v>
      </c>
      <c r="B132" t="str">
        <f t="shared" si="9"/>
        <v>2015/19</v>
      </c>
      <c r="C132" t="str">
        <f t="shared" si="5"/>
        <v>2015/05</v>
      </c>
      <c r="D132">
        <f t="shared" si="6"/>
        <v>2015</v>
      </c>
      <c r="E132" t="str">
        <f t="shared" si="7"/>
        <v>Thứ 7</v>
      </c>
      <c r="F132" s="2" t="str">
        <f t="shared" si="8"/>
        <v>INSERT INTO Master_Calendar (Date, Week, Month, Year, Holiday, XmlMeta) VALUES(N'2015-05-09', N'2015/19', N'2015/05', N'2015', N'Thứ 7', N'&lt;Root&gt;&lt;/Root&gt;')</v>
      </c>
    </row>
    <row r="133" spans="1:6" x14ac:dyDescent="0.25">
      <c r="A133" s="7">
        <v>42134</v>
      </c>
      <c r="B133" t="str">
        <f t="shared" si="9"/>
        <v>2015/19</v>
      </c>
      <c r="C133" t="str">
        <f t="shared" ref="C133:C196" si="10">YEAR(A133)&amp;"/"&amp;RIGHT("00"&amp;MONTH(A133),2)</f>
        <v>2015/05</v>
      </c>
      <c r="D133">
        <f t="shared" ref="D133:D196" si="11">YEAR(A133)</f>
        <v>2015</v>
      </c>
      <c r="E133" t="str">
        <f t="shared" ref="E133:E196" si="12">IF(WEEKDAY(A133)=1, "Chủ nhật", IF(WEEKDAY(A133)=7, "Thứ 7", ""))</f>
        <v>Chủ nhật</v>
      </c>
      <c r="F133" s="2" t="str">
        <f t="shared" ref="F133:F196" si="13">"INSERT INTO "&amp;$B$1&amp;" ("&amp;$A$3&amp;", "&amp;$B$3&amp;", "&amp;$C$3&amp;", "&amp;$D$3&amp;", "&amp;$E$3&amp;", XmlMeta) VALUES(N'"&amp;TEXT(A133, "yyyy-MM-dd")&amp;"', N'"&amp;B133&amp;"', N'"&amp;C133&amp;"', N'"&amp;D133&amp;"', N'"&amp;E133&amp;"', N'&lt;Root&gt;&lt;/Root&gt;')"</f>
        <v>INSERT INTO Master_Calendar (Date, Week, Month, Year, Holiday, XmlMeta) VALUES(N'2015-05-10', N'2015/19', N'2015/05', N'2015', N'Chủ nhật', N'&lt;Root&gt;&lt;/Root&gt;')</v>
      </c>
    </row>
    <row r="134" spans="1:6" x14ac:dyDescent="0.25">
      <c r="A134" s="7">
        <v>42135</v>
      </c>
      <c r="B134" t="str">
        <f t="shared" ref="B134:B197" si="14">YEAR(A134) &amp; "/" &amp; RIGHT("00" &amp; IF(WEEKNUM(A134, 2) &gt; 52, 52, WEEKNUM(A134, 2)), 2)</f>
        <v>2015/20</v>
      </c>
      <c r="C134" t="str">
        <f t="shared" si="10"/>
        <v>2015/05</v>
      </c>
      <c r="D134">
        <f t="shared" si="11"/>
        <v>2015</v>
      </c>
      <c r="E134" t="str">
        <f t="shared" si="12"/>
        <v/>
      </c>
      <c r="F134" s="2" t="str">
        <f t="shared" si="13"/>
        <v>INSERT INTO Master_Calendar (Date, Week, Month, Year, Holiday, XmlMeta) VALUES(N'2015-05-11', N'2015/20', N'2015/05', N'2015', N'', N'&lt;Root&gt;&lt;/Root&gt;')</v>
      </c>
    </row>
    <row r="135" spans="1:6" x14ac:dyDescent="0.25">
      <c r="A135" s="7">
        <v>42136</v>
      </c>
      <c r="B135" t="str">
        <f t="shared" si="14"/>
        <v>2015/20</v>
      </c>
      <c r="C135" t="str">
        <f t="shared" si="10"/>
        <v>2015/05</v>
      </c>
      <c r="D135">
        <f t="shared" si="11"/>
        <v>2015</v>
      </c>
      <c r="E135" t="str">
        <f t="shared" si="12"/>
        <v/>
      </c>
      <c r="F135" s="2" t="str">
        <f t="shared" si="13"/>
        <v>INSERT INTO Master_Calendar (Date, Week, Month, Year, Holiday, XmlMeta) VALUES(N'2015-05-12', N'2015/20', N'2015/05', N'2015', N'', N'&lt;Root&gt;&lt;/Root&gt;')</v>
      </c>
    </row>
    <row r="136" spans="1:6" x14ac:dyDescent="0.25">
      <c r="A136" s="7">
        <v>42137</v>
      </c>
      <c r="B136" t="str">
        <f t="shared" si="14"/>
        <v>2015/20</v>
      </c>
      <c r="C136" t="str">
        <f t="shared" si="10"/>
        <v>2015/05</v>
      </c>
      <c r="D136">
        <f t="shared" si="11"/>
        <v>2015</v>
      </c>
      <c r="E136" t="str">
        <f t="shared" si="12"/>
        <v/>
      </c>
      <c r="F136" s="2" t="str">
        <f t="shared" si="13"/>
        <v>INSERT INTO Master_Calendar (Date, Week, Month, Year, Holiday, XmlMeta) VALUES(N'2015-05-13', N'2015/20', N'2015/05', N'2015', N'', N'&lt;Root&gt;&lt;/Root&gt;')</v>
      </c>
    </row>
    <row r="137" spans="1:6" x14ac:dyDescent="0.25">
      <c r="A137" s="7">
        <v>42138</v>
      </c>
      <c r="B137" t="str">
        <f t="shared" si="14"/>
        <v>2015/20</v>
      </c>
      <c r="C137" t="str">
        <f t="shared" si="10"/>
        <v>2015/05</v>
      </c>
      <c r="D137">
        <f t="shared" si="11"/>
        <v>2015</v>
      </c>
      <c r="E137" t="str">
        <f t="shared" si="12"/>
        <v/>
      </c>
      <c r="F137" s="2" t="str">
        <f t="shared" si="13"/>
        <v>INSERT INTO Master_Calendar (Date, Week, Month, Year, Holiday, XmlMeta) VALUES(N'2015-05-14', N'2015/20', N'2015/05', N'2015', N'', N'&lt;Root&gt;&lt;/Root&gt;')</v>
      </c>
    </row>
    <row r="138" spans="1:6" x14ac:dyDescent="0.25">
      <c r="A138" s="7">
        <v>42139</v>
      </c>
      <c r="B138" t="str">
        <f t="shared" si="14"/>
        <v>2015/20</v>
      </c>
      <c r="C138" t="str">
        <f t="shared" si="10"/>
        <v>2015/05</v>
      </c>
      <c r="D138">
        <f t="shared" si="11"/>
        <v>2015</v>
      </c>
      <c r="E138" t="str">
        <f t="shared" si="12"/>
        <v/>
      </c>
      <c r="F138" s="2" t="str">
        <f t="shared" si="13"/>
        <v>INSERT INTO Master_Calendar (Date, Week, Month, Year, Holiday, XmlMeta) VALUES(N'2015-05-15', N'2015/20', N'2015/05', N'2015', N'', N'&lt;Root&gt;&lt;/Root&gt;')</v>
      </c>
    </row>
    <row r="139" spans="1:6" x14ac:dyDescent="0.25">
      <c r="A139" s="7">
        <v>42140</v>
      </c>
      <c r="B139" t="str">
        <f t="shared" si="14"/>
        <v>2015/20</v>
      </c>
      <c r="C139" t="str">
        <f t="shared" si="10"/>
        <v>2015/05</v>
      </c>
      <c r="D139">
        <f t="shared" si="11"/>
        <v>2015</v>
      </c>
      <c r="E139" t="str">
        <f t="shared" si="12"/>
        <v>Thứ 7</v>
      </c>
      <c r="F139" s="2" t="str">
        <f t="shared" si="13"/>
        <v>INSERT INTO Master_Calendar (Date, Week, Month, Year, Holiday, XmlMeta) VALUES(N'2015-05-16', N'2015/20', N'2015/05', N'2015', N'Thứ 7', N'&lt;Root&gt;&lt;/Root&gt;')</v>
      </c>
    </row>
    <row r="140" spans="1:6" x14ac:dyDescent="0.25">
      <c r="A140" s="7">
        <v>42141</v>
      </c>
      <c r="B140" t="str">
        <f t="shared" si="14"/>
        <v>2015/20</v>
      </c>
      <c r="C140" t="str">
        <f t="shared" si="10"/>
        <v>2015/05</v>
      </c>
      <c r="D140">
        <f t="shared" si="11"/>
        <v>2015</v>
      </c>
      <c r="E140" t="str">
        <f t="shared" si="12"/>
        <v>Chủ nhật</v>
      </c>
      <c r="F140" s="2" t="str">
        <f t="shared" si="13"/>
        <v>INSERT INTO Master_Calendar (Date, Week, Month, Year, Holiday, XmlMeta) VALUES(N'2015-05-17', N'2015/20', N'2015/05', N'2015', N'Chủ nhật', N'&lt;Root&gt;&lt;/Root&gt;')</v>
      </c>
    </row>
    <row r="141" spans="1:6" x14ac:dyDescent="0.25">
      <c r="A141" s="7">
        <v>42142</v>
      </c>
      <c r="B141" t="str">
        <f t="shared" si="14"/>
        <v>2015/21</v>
      </c>
      <c r="C141" t="str">
        <f t="shared" si="10"/>
        <v>2015/05</v>
      </c>
      <c r="D141">
        <f t="shared" si="11"/>
        <v>2015</v>
      </c>
      <c r="E141" t="str">
        <f t="shared" si="12"/>
        <v/>
      </c>
      <c r="F141" s="2" t="str">
        <f t="shared" si="13"/>
        <v>INSERT INTO Master_Calendar (Date, Week, Month, Year, Holiday, XmlMeta) VALUES(N'2015-05-18', N'2015/21', N'2015/05', N'2015', N'', N'&lt;Root&gt;&lt;/Root&gt;')</v>
      </c>
    </row>
    <row r="142" spans="1:6" x14ac:dyDescent="0.25">
      <c r="A142" s="7">
        <v>42143</v>
      </c>
      <c r="B142" t="str">
        <f t="shared" si="14"/>
        <v>2015/21</v>
      </c>
      <c r="C142" t="str">
        <f t="shared" si="10"/>
        <v>2015/05</v>
      </c>
      <c r="D142">
        <f t="shared" si="11"/>
        <v>2015</v>
      </c>
      <c r="E142" t="str">
        <f t="shared" si="12"/>
        <v/>
      </c>
      <c r="F142" s="2" t="str">
        <f t="shared" si="13"/>
        <v>INSERT INTO Master_Calendar (Date, Week, Month, Year, Holiday, XmlMeta) VALUES(N'2015-05-19', N'2015/21', N'2015/05', N'2015', N'', N'&lt;Root&gt;&lt;/Root&gt;')</v>
      </c>
    </row>
    <row r="143" spans="1:6" x14ac:dyDescent="0.25">
      <c r="A143" s="7">
        <v>42144</v>
      </c>
      <c r="B143" t="str">
        <f t="shared" si="14"/>
        <v>2015/21</v>
      </c>
      <c r="C143" t="str">
        <f t="shared" si="10"/>
        <v>2015/05</v>
      </c>
      <c r="D143">
        <f t="shared" si="11"/>
        <v>2015</v>
      </c>
      <c r="E143" t="str">
        <f t="shared" si="12"/>
        <v/>
      </c>
      <c r="F143" s="2" t="str">
        <f t="shared" si="13"/>
        <v>INSERT INTO Master_Calendar (Date, Week, Month, Year, Holiday, XmlMeta) VALUES(N'2015-05-20', N'2015/21', N'2015/05', N'2015', N'', N'&lt;Root&gt;&lt;/Root&gt;')</v>
      </c>
    </row>
    <row r="144" spans="1:6" x14ac:dyDescent="0.25">
      <c r="A144" s="7">
        <v>42145</v>
      </c>
      <c r="B144" t="str">
        <f t="shared" si="14"/>
        <v>2015/21</v>
      </c>
      <c r="C144" t="str">
        <f t="shared" si="10"/>
        <v>2015/05</v>
      </c>
      <c r="D144">
        <f t="shared" si="11"/>
        <v>2015</v>
      </c>
      <c r="E144" t="str">
        <f t="shared" si="12"/>
        <v/>
      </c>
      <c r="F144" s="2" t="str">
        <f t="shared" si="13"/>
        <v>INSERT INTO Master_Calendar (Date, Week, Month, Year, Holiday, XmlMeta) VALUES(N'2015-05-21', N'2015/21', N'2015/05', N'2015', N'', N'&lt;Root&gt;&lt;/Root&gt;')</v>
      </c>
    </row>
    <row r="145" spans="1:6" x14ac:dyDescent="0.25">
      <c r="A145" s="7">
        <v>42146</v>
      </c>
      <c r="B145" t="str">
        <f t="shared" si="14"/>
        <v>2015/21</v>
      </c>
      <c r="C145" t="str">
        <f t="shared" si="10"/>
        <v>2015/05</v>
      </c>
      <c r="D145">
        <f t="shared" si="11"/>
        <v>2015</v>
      </c>
      <c r="E145" t="str">
        <f t="shared" si="12"/>
        <v/>
      </c>
      <c r="F145" s="2" t="str">
        <f t="shared" si="13"/>
        <v>INSERT INTO Master_Calendar (Date, Week, Month, Year, Holiday, XmlMeta) VALUES(N'2015-05-22', N'2015/21', N'2015/05', N'2015', N'', N'&lt;Root&gt;&lt;/Root&gt;')</v>
      </c>
    </row>
    <row r="146" spans="1:6" x14ac:dyDescent="0.25">
      <c r="A146" s="7">
        <v>42147</v>
      </c>
      <c r="B146" t="str">
        <f t="shared" si="14"/>
        <v>2015/21</v>
      </c>
      <c r="C146" t="str">
        <f t="shared" si="10"/>
        <v>2015/05</v>
      </c>
      <c r="D146">
        <f t="shared" si="11"/>
        <v>2015</v>
      </c>
      <c r="E146" t="str">
        <f t="shared" si="12"/>
        <v>Thứ 7</v>
      </c>
      <c r="F146" s="2" t="str">
        <f t="shared" si="13"/>
        <v>INSERT INTO Master_Calendar (Date, Week, Month, Year, Holiday, XmlMeta) VALUES(N'2015-05-23', N'2015/21', N'2015/05', N'2015', N'Thứ 7', N'&lt;Root&gt;&lt;/Root&gt;')</v>
      </c>
    </row>
    <row r="147" spans="1:6" x14ac:dyDescent="0.25">
      <c r="A147" s="7">
        <v>42148</v>
      </c>
      <c r="B147" t="str">
        <f t="shared" si="14"/>
        <v>2015/21</v>
      </c>
      <c r="C147" t="str">
        <f t="shared" si="10"/>
        <v>2015/05</v>
      </c>
      <c r="D147">
        <f t="shared" si="11"/>
        <v>2015</v>
      </c>
      <c r="E147" t="str">
        <f t="shared" si="12"/>
        <v>Chủ nhật</v>
      </c>
      <c r="F147" s="2" t="str">
        <f t="shared" si="13"/>
        <v>INSERT INTO Master_Calendar (Date, Week, Month, Year, Holiday, XmlMeta) VALUES(N'2015-05-24', N'2015/21', N'2015/05', N'2015', N'Chủ nhật', N'&lt;Root&gt;&lt;/Root&gt;')</v>
      </c>
    </row>
    <row r="148" spans="1:6" x14ac:dyDescent="0.25">
      <c r="A148" s="7">
        <v>42149</v>
      </c>
      <c r="B148" t="str">
        <f t="shared" si="14"/>
        <v>2015/22</v>
      </c>
      <c r="C148" t="str">
        <f t="shared" si="10"/>
        <v>2015/05</v>
      </c>
      <c r="D148">
        <f t="shared" si="11"/>
        <v>2015</v>
      </c>
      <c r="E148" t="str">
        <f t="shared" si="12"/>
        <v/>
      </c>
      <c r="F148" s="2" t="str">
        <f t="shared" si="13"/>
        <v>INSERT INTO Master_Calendar (Date, Week, Month, Year, Holiday, XmlMeta) VALUES(N'2015-05-25', N'2015/22', N'2015/05', N'2015', N'', N'&lt;Root&gt;&lt;/Root&gt;')</v>
      </c>
    </row>
    <row r="149" spans="1:6" x14ac:dyDescent="0.25">
      <c r="A149" s="7">
        <v>42150</v>
      </c>
      <c r="B149" t="str">
        <f t="shared" si="14"/>
        <v>2015/22</v>
      </c>
      <c r="C149" t="str">
        <f t="shared" si="10"/>
        <v>2015/05</v>
      </c>
      <c r="D149">
        <f t="shared" si="11"/>
        <v>2015</v>
      </c>
      <c r="E149" t="str">
        <f t="shared" si="12"/>
        <v/>
      </c>
      <c r="F149" s="2" t="str">
        <f t="shared" si="13"/>
        <v>INSERT INTO Master_Calendar (Date, Week, Month, Year, Holiday, XmlMeta) VALUES(N'2015-05-26', N'2015/22', N'2015/05', N'2015', N'', N'&lt;Root&gt;&lt;/Root&gt;')</v>
      </c>
    </row>
    <row r="150" spans="1:6" x14ac:dyDescent="0.25">
      <c r="A150" s="7">
        <v>42151</v>
      </c>
      <c r="B150" t="str">
        <f t="shared" si="14"/>
        <v>2015/22</v>
      </c>
      <c r="C150" t="str">
        <f t="shared" si="10"/>
        <v>2015/05</v>
      </c>
      <c r="D150">
        <f t="shared" si="11"/>
        <v>2015</v>
      </c>
      <c r="E150" t="str">
        <f t="shared" si="12"/>
        <v/>
      </c>
      <c r="F150" s="2" t="str">
        <f t="shared" si="13"/>
        <v>INSERT INTO Master_Calendar (Date, Week, Month, Year, Holiday, XmlMeta) VALUES(N'2015-05-27', N'2015/22', N'2015/05', N'2015', N'', N'&lt;Root&gt;&lt;/Root&gt;')</v>
      </c>
    </row>
    <row r="151" spans="1:6" x14ac:dyDescent="0.25">
      <c r="A151" s="7">
        <v>42152</v>
      </c>
      <c r="B151" t="str">
        <f t="shared" si="14"/>
        <v>2015/22</v>
      </c>
      <c r="C151" t="str">
        <f t="shared" si="10"/>
        <v>2015/05</v>
      </c>
      <c r="D151">
        <f t="shared" si="11"/>
        <v>2015</v>
      </c>
      <c r="E151" t="str">
        <f t="shared" si="12"/>
        <v/>
      </c>
      <c r="F151" s="2" t="str">
        <f t="shared" si="13"/>
        <v>INSERT INTO Master_Calendar (Date, Week, Month, Year, Holiday, XmlMeta) VALUES(N'2015-05-28', N'2015/22', N'2015/05', N'2015', N'', N'&lt;Root&gt;&lt;/Root&gt;')</v>
      </c>
    </row>
    <row r="152" spans="1:6" x14ac:dyDescent="0.25">
      <c r="A152" s="7">
        <v>42153</v>
      </c>
      <c r="B152" t="str">
        <f t="shared" si="14"/>
        <v>2015/22</v>
      </c>
      <c r="C152" t="str">
        <f t="shared" si="10"/>
        <v>2015/05</v>
      </c>
      <c r="D152">
        <f t="shared" si="11"/>
        <v>2015</v>
      </c>
      <c r="E152" t="str">
        <f t="shared" si="12"/>
        <v/>
      </c>
      <c r="F152" s="2" t="str">
        <f t="shared" si="13"/>
        <v>INSERT INTO Master_Calendar (Date, Week, Month, Year, Holiday, XmlMeta) VALUES(N'2015-05-29', N'2015/22', N'2015/05', N'2015', N'', N'&lt;Root&gt;&lt;/Root&gt;')</v>
      </c>
    </row>
    <row r="153" spans="1:6" x14ac:dyDescent="0.25">
      <c r="A153" s="7">
        <v>42154</v>
      </c>
      <c r="B153" t="str">
        <f t="shared" si="14"/>
        <v>2015/22</v>
      </c>
      <c r="C153" t="str">
        <f t="shared" si="10"/>
        <v>2015/05</v>
      </c>
      <c r="D153">
        <f t="shared" si="11"/>
        <v>2015</v>
      </c>
      <c r="E153" t="str">
        <f t="shared" si="12"/>
        <v>Thứ 7</v>
      </c>
      <c r="F153" s="2" t="str">
        <f t="shared" si="13"/>
        <v>INSERT INTO Master_Calendar (Date, Week, Month, Year, Holiday, XmlMeta) VALUES(N'2015-05-30', N'2015/22', N'2015/05', N'2015', N'Thứ 7', N'&lt;Root&gt;&lt;/Root&gt;')</v>
      </c>
    </row>
    <row r="154" spans="1:6" x14ac:dyDescent="0.25">
      <c r="A154" s="7">
        <v>42155</v>
      </c>
      <c r="B154" t="str">
        <f t="shared" si="14"/>
        <v>2015/22</v>
      </c>
      <c r="C154" t="str">
        <f t="shared" si="10"/>
        <v>2015/05</v>
      </c>
      <c r="D154">
        <f t="shared" si="11"/>
        <v>2015</v>
      </c>
      <c r="E154" t="str">
        <f t="shared" si="12"/>
        <v>Chủ nhật</v>
      </c>
      <c r="F154" s="2" t="str">
        <f t="shared" si="13"/>
        <v>INSERT INTO Master_Calendar (Date, Week, Month, Year, Holiday, XmlMeta) VALUES(N'2015-05-31', N'2015/22', N'2015/05', N'2015', N'Chủ nhật', N'&lt;Root&gt;&lt;/Root&gt;')</v>
      </c>
    </row>
    <row r="155" spans="1:6" x14ac:dyDescent="0.25">
      <c r="A155" s="7">
        <v>42156</v>
      </c>
      <c r="B155" t="str">
        <f t="shared" si="14"/>
        <v>2015/23</v>
      </c>
      <c r="C155" t="str">
        <f t="shared" si="10"/>
        <v>2015/06</v>
      </c>
      <c r="D155">
        <f t="shared" si="11"/>
        <v>2015</v>
      </c>
      <c r="E155" t="str">
        <f t="shared" si="12"/>
        <v/>
      </c>
      <c r="F155" s="2" t="str">
        <f t="shared" si="13"/>
        <v>INSERT INTO Master_Calendar (Date, Week, Month, Year, Holiday, XmlMeta) VALUES(N'2015-06-01', N'2015/23', N'2015/06', N'2015', N'', N'&lt;Root&gt;&lt;/Root&gt;')</v>
      </c>
    </row>
    <row r="156" spans="1:6" x14ac:dyDescent="0.25">
      <c r="A156" s="7">
        <v>42157</v>
      </c>
      <c r="B156" t="str">
        <f t="shared" si="14"/>
        <v>2015/23</v>
      </c>
      <c r="C156" t="str">
        <f t="shared" si="10"/>
        <v>2015/06</v>
      </c>
      <c r="D156">
        <f t="shared" si="11"/>
        <v>2015</v>
      </c>
      <c r="E156" t="str">
        <f t="shared" si="12"/>
        <v/>
      </c>
      <c r="F156" s="2" t="str">
        <f t="shared" si="13"/>
        <v>INSERT INTO Master_Calendar (Date, Week, Month, Year, Holiday, XmlMeta) VALUES(N'2015-06-02', N'2015/23', N'2015/06', N'2015', N'', N'&lt;Root&gt;&lt;/Root&gt;')</v>
      </c>
    </row>
    <row r="157" spans="1:6" x14ac:dyDescent="0.25">
      <c r="A157" s="7">
        <v>42158</v>
      </c>
      <c r="B157" t="str">
        <f t="shared" si="14"/>
        <v>2015/23</v>
      </c>
      <c r="C157" t="str">
        <f t="shared" si="10"/>
        <v>2015/06</v>
      </c>
      <c r="D157">
        <f t="shared" si="11"/>
        <v>2015</v>
      </c>
      <c r="E157" t="str">
        <f t="shared" si="12"/>
        <v/>
      </c>
      <c r="F157" s="2" t="str">
        <f t="shared" si="13"/>
        <v>INSERT INTO Master_Calendar (Date, Week, Month, Year, Holiday, XmlMeta) VALUES(N'2015-06-03', N'2015/23', N'2015/06', N'2015', N'', N'&lt;Root&gt;&lt;/Root&gt;')</v>
      </c>
    </row>
    <row r="158" spans="1:6" x14ac:dyDescent="0.25">
      <c r="A158" s="7">
        <v>42159</v>
      </c>
      <c r="B158" t="str">
        <f t="shared" si="14"/>
        <v>2015/23</v>
      </c>
      <c r="C158" t="str">
        <f t="shared" si="10"/>
        <v>2015/06</v>
      </c>
      <c r="D158">
        <f t="shared" si="11"/>
        <v>2015</v>
      </c>
      <c r="E158" t="str">
        <f t="shared" si="12"/>
        <v/>
      </c>
      <c r="F158" s="2" t="str">
        <f t="shared" si="13"/>
        <v>INSERT INTO Master_Calendar (Date, Week, Month, Year, Holiday, XmlMeta) VALUES(N'2015-06-04', N'2015/23', N'2015/06', N'2015', N'', N'&lt;Root&gt;&lt;/Root&gt;')</v>
      </c>
    </row>
    <row r="159" spans="1:6" x14ac:dyDescent="0.25">
      <c r="A159" s="7">
        <v>42160</v>
      </c>
      <c r="B159" t="str">
        <f t="shared" si="14"/>
        <v>2015/23</v>
      </c>
      <c r="C159" t="str">
        <f t="shared" si="10"/>
        <v>2015/06</v>
      </c>
      <c r="D159">
        <f t="shared" si="11"/>
        <v>2015</v>
      </c>
      <c r="E159" t="str">
        <f t="shared" si="12"/>
        <v/>
      </c>
      <c r="F159" s="2" t="str">
        <f t="shared" si="13"/>
        <v>INSERT INTO Master_Calendar (Date, Week, Month, Year, Holiday, XmlMeta) VALUES(N'2015-06-05', N'2015/23', N'2015/06', N'2015', N'', N'&lt;Root&gt;&lt;/Root&gt;')</v>
      </c>
    </row>
    <row r="160" spans="1:6" x14ac:dyDescent="0.25">
      <c r="A160" s="7">
        <v>42161</v>
      </c>
      <c r="B160" t="str">
        <f t="shared" si="14"/>
        <v>2015/23</v>
      </c>
      <c r="C160" t="str">
        <f t="shared" si="10"/>
        <v>2015/06</v>
      </c>
      <c r="D160">
        <f t="shared" si="11"/>
        <v>2015</v>
      </c>
      <c r="E160" t="str">
        <f t="shared" si="12"/>
        <v>Thứ 7</v>
      </c>
      <c r="F160" s="2" t="str">
        <f t="shared" si="13"/>
        <v>INSERT INTO Master_Calendar (Date, Week, Month, Year, Holiday, XmlMeta) VALUES(N'2015-06-06', N'2015/23', N'2015/06', N'2015', N'Thứ 7', N'&lt;Root&gt;&lt;/Root&gt;')</v>
      </c>
    </row>
    <row r="161" spans="1:6" x14ac:dyDescent="0.25">
      <c r="A161" s="7">
        <v>42162</v>
      </c>
      <c r="B161" t="str">
        <f t="shared" si="14"/>
        <v>2015/23</v>
      </c>
      <c r="C161" t="str">
        <f t="shared" si="10"/>
        <v>2015/06</v>
      </c>
      <c r="D161">
        <f t="shared" si="11"/>
        <v>2015</v>
      </c>
      <c r="E161" t="str">
        <f t="shared" si="12"/>
        <v>Chủ nhật</v>
      </c>
      <c r="F161" s="2" t="str">
        <f t="shared" si="13"/>
        <v>INSERT INTO Master_Calendar (Date, Week, Month, Year, Holiday, XmlMeta) VALUES(N'2015-06-07', N'2015/23', N'2015/06', N'2015', N'Chủ nhật', N'&lt;Root&gt;&lt;/Root&gt;')</v>
      </c>
    </row>
    <row r="162" spans="1:6" x14ac:dyDescent="0.25">
      <c r="A162" s="7">
        <v>42163</v>
      </c>
      <c r="B162" t="str">
        <f t="shared" si="14"/>
        <v>2015/24</v>
      </c>
      <c r="C162" t="str">
        <f t="shared" si="10"/>
        <v>2015/06</v>
      </c>
      <c r="D162">
        <f t="shared" si="11"/>
        <v>2015</v>
      </c>
      <c r="E162" t="str">
        <f t="shared" si="12"/>
        <v/>
      </c>
      <c r="F162" s="2" t="str">
        <f t="shared" si="13"/>
        <v>INSERT INTO Master_Calendar (Date, Week, Month, Year, Holiday, XmlMeta) VALUES(N'2015-06-08', N'2015/24', N'2015/06', N'2015', N'', N'&lt;Root&gt;&lt;/Root&gt;')</v>
      </c>
    </row>
    <row r="163" spans="1:6" x14ac:dyDescent="0.25">
      <c r="A163" s="7">
        <v>42164</v>
      </c>
      <c r="B163" t="str">
        <f t="shared" si="14"/>
        <v>2015/24</v>
      </c>
      <c r="C163" t="str">
        <f t="shared" si="10"/>
        <v>2015/06</v>
      </c>
      <c r="D163">
        <f t="shared" si="11"/>
        <v>2015</v>
      </c>
      <c r="E163" t="str">
        <f t="shared" si="12"/>
        <v/>
      </c>
      <c r="F163" s="2" t="str">
        <f t="shared" si="13"/>
        <v>INSERT INTO Master_Calendar (Date, Week, Month, Year, Holiday, XmlMeta) VALUES(N'2015-06-09', N'2015/24', N'2015/06', N'2015', N'', N'&lt;Root&gt;&lt;/Root&gt;')</v>
      </c>
    </row>
    <row r="164" spans="1:6" x14ac:dyDescent="0.25">
      <c r="A164" s="7">
        <v>42165</v>
      </c>
      <c r="B164" t="str">
        <f t="shared" si="14"/>
        <v>2015/24</v>
      </c>
      <c r="C164" t="str">
        <f t="shared" si="10"/>
        <v>2015/06</v>
      </c>
      <c r="D164">
        <f t="shared" si="11"/>
        <v>2015</v>
      </c>
      <c r="E164" t="str">
        <f t="shared" si="12"/>
        <v/>
      </c>
      <c r="F164" s="2" t="str">
        <f t="shared" si="13"/>
        <v>INSERT INTO Master_Calendar (Date, Week, Month, Year, Holiday, XmlMeta) VALUES(N'2015-06-10', N'2015/24', N'2015/06', N'2015', N'', N'&lt;Root&gt;&lt;/Root&gt;')</v>
      </c>
    </row>
    <row r="165" spans="1:6" x14ac:dyDescent="0.25">
      <c r="A165" s="7">
        <v>42166</v>
      </c>
      <c r="B165" t="str">
        <f t="shared" si="14"/>
        <v>2015/24</v>
      </c>
      <c r="C165" t="str">
        <f t="shared" si="10"/>
        <v>2015/06</v>
      </c>
      <c r="D165">
        <f t="shared" si="11"/>
        <v>2015</v>
      </c>
      <c r="E165" t="str">
        <f t="shared" si="12"/>
        <v/>
      </c>
      <c r="F165" s="2" t="str">
        <f t="shared" si="13"/>
        <v>INSERT INTO Master_Calendar (Date, Week, Month, Year, Holiday, XmlMeta) VALUES(N'2015-06-11', N'2015/24', N'2015/06', N'2015', N'', N'&lt;Root&gt;&lt;/Root&gt;')</v>
      </c>
    </row>
    <row r="166" spans="1:6" x14ac:dyDescent="0.25">
      <c r="A166" s="7">
        <v>42167</v>
      </c>
      <c r="B166" t="str">
        <f t="shared" si="14"/>
        <v>2015/24</v>
      </c>
      <c r="C166" t="str">
        <f t="shared" si="10"/>
        <v>2015/06</v>
      </c>
      <c r="D166">
        <f t="shared" si="11"/>
        <v>2015</v>
      </c>
      <c r="E166" t="str">
        <f t="shared" si="12"/>
        <v/>
      </c>
      <c r="F166" s="2" t="str">
        <f t="shared" si="13"/>
        <v>INSERT INTO Master_Calendar (Date, Week, Month, Year, Holiday, XmlMeta) VALUES(N'2015-06-12', N'2015/24', N'2015/06', N'2015', N'', N'&lt;Root&gt;&lt;/Root&gt;')</v>
      </c>
    </row>
    <row r="167" spans="1:6" x14ac:dyDescent="0.25">
      <c r="A167" s="7">
        <v>42168</v>
      </c>
      <c r="B167" t="str">
        <f t="shared" si="14"/>
        <v>2015/24</v>
      </c>
      <c r="C167" t="str">
        <f t="shared" si="10"/>
        <v>2015/06</v>
      </c>
      <c r="D167">
        <f t="shared" si="11"/>
        <v>2015</v>
      </c>
      <c r="E167" t="str">
        <f t="shared" si="12"/>
        <v>Thứ 7</v>
      </c>
      <c r="F167" s="2" t="str">
        <f t="shared" si="13"/>
        <v>INSERT INTO Master_Calendar (Date, Week, Month, Year, Holiday, XmlMeta) VALUES(N'2015-06-13', N'2015/24', N'2015/06', N'2015', N'Thứ 7', N'&lt;Root&gt;&lt;/Root&gt;')</v>
      </c>
    </row>
    <row r="168" spans="1:6" x14ac:dyDescent="0.25">
      <c r="A168" s="7">
        <v>42169</v>
      </c>
      <c r="B168" t="str">
        <f t="shared" si="14"/>
        <v>2015/24</v>
      </c>
      <c r="C168" t="str">
        <f t="shared" si="10"/>
        <v>2015/06</v>
      </c>
      <c r="D168">
        <f t="shared" si="11"/>
        <v>2015</v>
      </c>
      <c r="E168" t="str">
        <f t="shared" si="12"/>
        <v>Chủ nhật</v>
      </c>
      <c r="F168" s="2" t="str">
        <f t="shared" si="13"/>
        <v>INSERT INTO Master_Calendar (Date, Week, Month, Year, Holiday, XmlMeta) VALUES(N'2015-06-14', N'2015/24', N'2015/06', N'2015', N'Chủ nhật', N'&lt;Root&gt;&lt;/Root&gt;')</v>
      </c>
    </row>
    <row r="169" spans="1:6" x14ac:dyDescent="0.25">
      <c r="A169" s="7">
        <v>42170</v>
      </c>
      <c r="B169" t="str">
        <f t="shared" si="14"/>
        <v>2015/25</v>
      </c>
      <c r="C169" t="str">
        <f t="shared" si="10"/>
        <v>2015/06</v>
      </c>
      <c r="D169">
        <f t="shared" si="11"/>
        <v>2015</v>
      </c>
      <c r="E169" t="str">
        <f t="shared" si="12"/>
        <v/>
      </c>
      <c r="F169" s="2" t="str">
        <f t="shared" si="13"/>
        <v>INSERT INTO Master_Calendar (Date, Week, Month, Year, Holiday, XmlMeta) VALUES(N'2015-06-15', N'2015/25', N'2015/06', N'2015', N'', N'&lt;Root&gt;&lt;/Root&gt;')</v>
      </c>
    </row>
    <row r="170" spans="1:6" x14ac:dyDescent="0.25">
      <c r="A170" s="7">
        <v>42171</v>
      </c>
      <c r="B170" t="str">
        <f t="shared" si="14"/>
        <v>2015/25</v>
      </c>
      <c r="C170" t="str">
        <f t="shared" si="10"/>
        <v>2015/06</v>
      </c>
      <c r="D170">
        <f t="shared" si="11"/>
        <v>2015</v>
      </c>
      <c r="E170" t="str">
        <f t="shared" si="12"/>
        <v/>
      </c>
      <c r="F170" s="2" t="str">
        <f t="shared" si="13"/>
        <v>INSERT INTO Master_Calendar (Date, Week, Month, Year, Holiday, XmlMeta) VALUES(N'2015-06-16', N'2015/25', N'2015/06', N'2015', N'', N'&lt;Root&gt;&lt;/Root&gt;')</v>
      </c>
    </row>
    <row r="171" spans="1:6" x14ac:dyDescent="0.25">
      <c r="A171" s="7">
        <v>42172</v>
      </c>
      <c r="B171" t="str">
        <f t="shared" si="14"/>
        <v>2015/25</v>
      </c>
      <c r="C171" t="str">
        <f t="shared" si="10"/>
        <v>2015/06</v>
      </c>
      <c r="D171">
        <f t="shared" si="11"/>
        <v>2015</v>
      </c>
      <c r="E171" t="str">
        <f t="shared" si="12"/>
        <v/>
      </c>
      <c r="F171" s="2" t="str">
        <f t="shared" si="13"/>
        <v>INSERT INTO Master_Calendar (Date, Week, Month, Year, Holiday, XmlMeta) VALUES(N'2015-06-17', N'2015/25', N'2015/06', N'2015', N'', N'&lt;Root&gt;&lt;/Root&gt;')</v>
      </c>
    </row>
    <row r="172" spans="1:6" x14ac:dyDescent="0.25">
      <c r="A172" s="7">
        <v>42173</v>
      </c>
      <c r="B172" t="str">
        <f t="shared" si="14"/>
        <v>2015/25</v>
      </c>
      <c r="C172" t="str">
        <f t="shared" si="10"/>
        <v>2015/06</v>
      </c>
      <c r="D172">
        <f t="shared" si="11"/>
        <v>2015</v>
      </c>
      <c r="E172" t="str">
        <f t="shared" si="12"/>
        <v/>
      </c>
      <c r="F172" s="2" t="str">
        <f t="shared" si="13"/>
        <v>INSERT INTO Master_Calendar (Date, Week, Month, Year, Holiday, XmlMeta) VALUES(N'2015-06-18', N'2015/25', N'2015/06', N'2015', N'', N'&lt;Root&gt;&lt;/Root&gt;')</v>
      </c>
    </row>
    <row r="173" spans="1:6" x14ac:dyDescent="0.25">
      <c r="A173" s="7">
        <v>42174</v>
      </c>
      <c r="B173" t="str">
        <f t="shared" si="14"/>
        <v>2015/25</v>
      </c>
      <c r="C173" t="str">
        <f t="shared" si="10"/>
        <v>2015/06</v>
      </c>
      <c r="D173">
        <f t="shared" si="11"/>
        <v>2015</v>
      </c>
      <c r="E173" t="str">
        <f t="shared" si="12"/>
        <v/>
      </c>
      <c r="F173" s="2" t="str">
        <f t="shared" si="13"/>
        <v>INSERT INTO Master_Calendar (Date, Week, Month, Year, Holiday, XmlMeta) VALUES(N'2015-06-19', N'2015/25', N'2015/06', N'2015', N'', N'&lt;Root&gt;&lt;/Root&gt;')</v>
      </c>
    </row>
    <row r="174" spans="1:6" x14ac:dyDescent="0.25">
      <c r="A174" s="7">
        <v>42175</v>
      </c>
      <c r="B174" t="str">
        <f t="shared" si="14"/>
        <v>2015/25</v>
      </c>
      <c r="C174" t="str">
        <f t="shared" si="10"/>
        <v>2015/06</v>
      </c>
      <c r="D174">
        <f t="shared" si="11"/>
        <v>2015</v>
      </c>
      <c r="E174" t="str">
        <f t="shared" si="12"/>
        <v>Thứ 7</v>
      </c>
      <c r="F174" s="2" t="str">
        <f t="shared" si="13"/>
        <v>INSERT INTO Master_Calendar (Date, Week, Month, Year, Holiday, XmlMeta) VALUES(N'2015-06-20', N'2015/25', N'2015/06', N'2015', N'Thứ 7', N'&lt;Root&gt;&lt;/Root&gt;')</v>
      </c>
    </row>
    <row r="175" spans="1:6" x14ac:dyDescent="0.25">
      <c r="A175" s="7">
        <v>42176</v>
      </c>
      <c r="B175" t="str">
        <f t="shared" si="14"/>
        <v>2015/25</v>
      </c>
      <c r="C175" t="str">
        <f t="shared" si="10"/>
        <v>2015/06</v>
      </c>
      <c r="D175">
        <f t="shared" si="11"/>
        <v>2015</v>
      </c>
      <c r="E175" t="str">
        <f t="shared" si="12"/>
        <v>Chủ nhật</v>
      </c>
      <c r="F175" s="2" t="str">
        <f t="shared" si="13"/>
        <v>INSERT INTO Master_Calendar (Date, Week, Month, Year, Holiday, XmlMeta) VALUES(N'2015-06-21', N'2015/25', N'2015/06', N'2015', N'Chủ nhật', N'&lt;Root&gt;&lt;/Root&gt;')</v>
      </c>
    </row>
    <row r="176" spans="1:6" x14ac:dyDescent="0.25">
      <c r="A176" s="7">
        <v>42177</v>
      </c>
      <c r="B176" t="str">
        <f t="shared" si="14"/>
        <v>2015/26</v>
      </c>
      <c r="C176" t="str">
        <f t="shared" si="10"/>
        <v>2015/06</v>
      </c>
      <c r="D176">
        <f t="shared" si="11"/>
        <v>2015</v>
      </c>
      <c r="E176" t="str">
        <f t="shared" si="12"/>
        <v/>
      </c>
      <c r="F176" s="2" t="str">
        <f t="shared" si="13"/>
        <v>INSERT INTO Master_Calendar (Date, Week, Month, Year, Holiday, XmlMeta) VALUES(N'2015-06-22', N'2015/26', N'2015/06', N'2015', N'', N'&lt;Root&gt;&lt;/Root&gt;')</v>
      </c>
    </row>
    <row r="177" spans="1:6" x14ac:dyDescent="0.25">
      <c r="A177" s="7">
        <v>42178</v>
      </c>
      <c r="B177" t="str">
        <f t="shared" si="14"/>
        <v>2015/26</v>
      </c>
      <c r="C177" t="str">
        <f t="shared" si="10"/>
        <v>2015/06</v>
      </c>
      <c r="D177">
        <f t="shared" si="11"/>
        <v>2015</v>
      </c>
      <c r="E177" t="str">
        <f t="shared" si="12"/>
        <v/>
      </c>
      <c r="F177" s="2" t="str">
        <f t="shared" si="13"/>
        <v>INSERT INTO Master_Calendar (Date, Week, Month, Year, Holiday, XmlMeta) VALUES(N'2015-06-23', N'2015/26', N'2015/06', N'2015', N'', N'&lt;Root&gt;&lt;/Root&gt;')</v>
      </c>
    </row>
    <row r="178" spans="1:6" x14ac:dyDescent="0.25">
      <c r="A178" s="7">
        <v>42179</v>
      </c>
      <c r="B178" t="str">
        <f t="shared" si="14"/>
        <v>2015/26</v>
      </c>
      <c r="C178" t="str">
        <f t="shared" si="10"/>
        <v>2015/06</v>
      </c>
      <c r="D178">
        <f t="shared" si="11"/>
        <v>2015</v>
      </c>
      <c r="E178" t="str">
        <f t="shared" si="12"/>
        <v/>
      </c>
      <c r="F178" s="2" t="str">
        <f t="shared" si="13"/>
        <v>INSERT INTO Master_Calendar (Date, Week, Month, Year, Holiday, XmlMeta) VALUES(N'2015-06-24', N'2015/26', N'2015/06', N'2015', N'', N'&lt;Root&gt;&lt;/Root&gt;')</v>
      </c>
    </row>
    <row r="179" spans="1:6" x14ac:dyDescent="0.25">
      <c r="A179" s="7">
        <v>42180</v>
      </c>
      <c r="B179" t="str">
        <f t="shared" si="14"/>
        <v>2015/26</v>
      </c>
      <c r="C179" t="str">
        <f t="shared" si="10"/>
        <v>2015/06</v>
      </c>
      <c r="D179">
        <f t="shared" si="11"/>
        <v>2015</v>
      </c>
      <c r="E179" t="str">
        <f t="shared" si="12"/>
        <v/>
      </c>
      <c r="F179" s="2" t="str">
        <f t="shared" si="13"/>
        <v>INSERT INTO Master_Calendar (Date, Week, Month, Year, Holiday, XmlMeta) VALUES(N'2015-06-25', N'2015/26', N'2015/06', N'2015', N'', N'&lt;Root&gt;&lt;/Root&gt;')</v>
      </c>
    </row>
    <row r="180" spans="1:6" x14ac:dyDescent="0.25">
      <c r="A180" s="7">
        <v>42181</v>
      </c>
      <c r="B180" t="str">
        <f t="shared" si="14"/>
        <v>2015/26</v>
      </c>
      <c r="C180" t="str">
        <f t="shared" si="10"/>
        <v>2015/06</v>
      </c>
      <c r="D180">
        <f t="shared" si="11"/>
        <v>2015</v>
      </c>
      <c r="E180" t="str">
        <f t="shared" si="12"/>
        <v/>
      </c>
      <c r="F180" s="2" t="str">
        <f t="shared" si="13"/>
        <v>INSERT INTO Master_Calendar (Date, Week, Month, Year, Holiday, XmlMeta) VALUES(N'2015-06-26', N'2015/26', N'2015/06', N'2015', N'', N'&lt;Root&gt;&lt;/Root&gt;')</v>
      </c>
    </row>
    <row r="181" spans="1:6" x14ac:dyDescent="0.25">
      <c r="A181" s="7">
        <v>42182</v>
      </c>
      <c r="B181" t="str">
        <f t="shared" si="14"/>
        <v>2015/26</v>
      </c>
      <c r="C181" t="str">
        <f t="shared" si="10"/>
        <v>2015/06</v>
      </c>
      <c r="D181">
        <f t="shared" si="11"/>
        <v>2015</v>
      </c>
      <c r="E181" t="str">
        <f t="shared" si="12"/>
        <v>Thứ 7</v>
      </c>
      <c r="F181" s="2" t="str">
        <f t="shared" si="13"/>
        <v>INSERT INTO Master_Calendar (Date, Week, Month, Year, Holiday, XmlMeta) VALUES(N'2015-06-27', N'2015/26', N'2015/06', N'2015', N'Thứ 7', N'&lt;Root&gt;&lt;/Root&gt;')</v>
      </c>
    </row>
    <row r="182" spans="1:6" x14ac:dyDescent="0.25">
      <c r="A182" s="7">
        <v>42183</v>
      </c>
      <c r="B182" t="str">
        <f t="shared" si="14"/>
        <v>2015/26</v>
      </c>
      <c r="C182" t="str">
        <f t="shared" si="10"/>
        <v>2015/06</v>
      </c>
      <c r="D182">
        <f t="shared" si="11"/>
        <v>2015</v>
      </c>
      <c r="E182" t="str">
        <f t="shared" si="12"/>
        <v>Chủ nhật</v>
      </c>
      <c r="F182" s="2" t="str">
        <f t="shared" si="13"/>
        <v>INSERT INTO Master_Calendar (Date, Week, Month, Year, Holiday, XmlMeta) VALUES(N'2015-06-28', N'2015/26', N'2015/06', N'2015', N'Chủ nhật', N'&lt;Root&gt;&lt;/Root&gt;')</v>
      </c>
    </row>
    <row r="183" spans="1:6" x14ac:dyDescent="0.25">
      <c r="A183" s="7">
        <v>42184</v>
      </c>
      <c r="B183" t="str">
        <f t="shared" si="14"/>
        <v>2015/27</v>
      </c>
      <c r="C183" t="str">
        <f t="shared" si="10"/>
        <v>2015/06</v>
      </c>
      <c r="D183">
        <f t="shared" si="11"/>
        <v>2015</v>
      </c>
      <c r="E183" t="str">
        <f t="shared" si="12"/>
        <v/>
      </c>
      <c r="F183" s="2" t="str">
        <f t="shared" si="13"/>
        <v>INSERT INTO Master_Calendar (Date, Week, Month, Year, Holiday, XmlMeta) VALUES(N'2015-06-29', N'2015/27', N'2015/06', N'2015', N'', N'&lt;Root&gt;&lt;/Root&gt;')</v>
      </c>
    </row>
    <row r="184" spans="1:6" x14ac:dyDescent="0.25">
      <c r="A184" s="7">
        <v>42185</v>
      </c>
      <c r="B184" t="str">
        <f t="shared" si="14"/>
        <v>2015/27</v>
      </c>
      <c r="C184" t="str">
        <f t="shared" si="10"/>
        <v>2015/06</v>
      </c>
      <c r="D184">
        <f t="shared" si="11"/>
        <v>2015</v>
      </c>
      <c r="E184" t="str">
        <f t="shared" si="12"/>
        <v/>
      </c>
      <c r="F184" s="2" t="str">
        <f t="shared" si="13"/>
        <v>INSERT INTO Master_Calendar (Date, Week, Month, Year, Holiday, XmlMeta) VALUES(N'2015-06-30', N'2015/27', N'2015/06', N'2015', N'', N'&lt;Root&gt;&lt;/Root&gt;')</v>
      </c>
    </row>
    <row r="185" spans="1:6" x14ac:dyDescent="0.25">
      <c r="A185" s="7">
        <v>42186</v>
      </c>
      <c r="B185" t="str">
        <f t="shared" si="14"/>
        <v>2015/27</v>
      </c>
      <c r="C185" t="str">
        <f t="shared" si="10"/>
        <v>2015/07</v>
      </c>
      <c r="D185">
        <f t="shared" si="11"/>
        <v>2015</v>
      </c>
      <c r="E185" t="str">
        <f t="shared" si="12"/>
        <v/>
      </c>
      <c r="F185" s="2" t="str">
        <f t="shared" si="13"/>
        <v>INSERT INTO Master_Calendar (Date, Week, Month, Year, Holiday, XmlMeta) VALUES(N'2015-07-01', N'2015/27', N'2015/07', N'2015', N'', N'&lt;Root&gt;&lt;/Root&gt;')</v>
      </c>
    </row>
    <row r="186" spans="1:6" x14ac:dyDescent="0.25">
      <c r="A186" s="7">
        <v>42187</v>
      </c>
      <c r="B186" t="str">
        <f t="shared" si="14"/>
        <v>2015/27</v>
      </c>
      <c r="C186" t="str">
        <f t="shared" si="10"/>
        <v>2015/07</v>
      </c>
      <c r="D186">
        <f t="shared" si="11"/>
        <v>2015</v>
      </c>
      <c r="E186" t="str">
        <f t="shared" si="12"/>
        <v/>
      </c>
      <c r="F186" s="2" t="str">
        <f t="shared" si="13"/>
        <v>INSERT INTO Master_Calendar (Date, Week, Month, Year, Holiday, XmlMeta) VALUES(N'2015-07-02', N'2015/27', N'2015/07', N'2015', N'', N'&lt;Root&gt;&lt;/Root&gt;')</v>
      </c>
    </row>
    <row r="187" spans="1:6" x14ac:dyDescent="0.25">
      <c r="A187" s="7">
        <v>42188</v>
      </c>
      <c r="B187" t="str">
        <f t="shared" si="14"/>
        <v>2015/27</v>
      </c>
      <c r="C187" t="str">
        <f t="shared" si="10"/>
        <v>2015/07</v>
      </c>
      <c r="D187">
        <f t="shared" si="11"/>
        <v>2015</v>
      </c>
      <c r="E187" t="str">
        <f t="shared" si="12"/>
        <v/>
      </c>
      <c r="F187" s="2" t="str">
        <f t="shared" si="13"/>
        <v>INSERT INTO Master_Calendar (Date, Week, Month, Year, Holiday, XmlMeta) VALUES(N'2015-07-03', N'2015/27', N'2015/07', N'2015', N'', N'&lt;Root&gt;&lt;/Root&gt;')</v>
      </c>
    </row>
    <row r="188" spans="1:6" x14ac:dyDescent="0.25">
      <c r="A188" s="7">
        <v>42189</v>
      </c>
      <c r="B188" t="str">
        <f t="shared" si="14"/>
        <v>2015/27</v>
      </c>
      <c r="C188" t="str">
        <f t="shared" si="10"/>
        <v>2015/07</v>
      </c>
      <c r="D188">
        <f t="shared" si="11"/>
        <v>2015</v>
      </c>
      <c r="E188" t="str">
        <f t="shared" si="12"/>
        <v>Thứ 7</v>
      </c>
      <c r="F188" s="2" t="str">
        <f t="shared" si="13"/>
        <v>INSERT INTO Master_Calendar (Date, Week, Month, Year, Holiday, XmlMeta) VALUES(N'2015-07-04', N'2015/27', N'2015/07', N'2015', N'Thứ 7', N'&lt;Root&gt;&lt;/Root&gt;')</v>
      </c>
    </row>
    <row r="189" spans="1:6" x14ac:dyDescent="0.25">
      <c r="A189" s="7">
        <v>42190</v>
      </c>
      <c r="B189" t="str">
        <f t="shared" si="14"/>
        <v>2015/27</v>
      </c>
      <c r="C189" t="str">
        <f t="shared" si="10"/>
        <v>2015/07</v>
      </c>
      <c r="D189">
        <f t="shared" si="11"/>
        <v>2015</v>
      </c>
      <c r="E189" t="str">
        <f t="shared" si="12"/>
        <v>Chủ nhật</v>
      </c>
      <c r="F189" s="2" t="str">
        <f t="shared" si="13"/>
        <v>INSERT INTO Master_Calendar (Date, Week, Month, Year, Holiday, XmlMeta) VALUES(N'2015-07-05', N'2015/27', N'2015/07', N'2015', N'Chủ nhật', N'&lt;Root&gt;&lt;/Root&gt;')</v>
      </c>
    </row>
    <row r="190" spans="1:6" x14ac:dyDescent="0.25">
      <c r="A190" s="7">
        <v>42191</v>
      </c>
      <c r="B190" t="str">
        <f t="shared" si="14"/>
        <v>2015/28</v>
      </c>
      <c r="C190" t="str">
        <f t="shared" si="10"/>
        <v>2015/07</v>
      </c>
      <c r="D190">
        <f t="shared" si="11"/>
        <v>2015</v>
      </c>
      <c r="E190" t="str">
        <f t="shared" si="12"/>
        <v/>
      </c>
      <c r="F190" s="2" t="str">
        <f t="shared" si="13"/>
        <v>INSERT INTO Master_Calendar (Date, Week, Month, Year, Holiday, XmlMeta) VALUES(N'2015-07-06', N'2015/28', N'2015/07', N'2015', N'', N'&lt;Root&gt;&lt;/Root&gt;')</v>
      </c>
    </row>
    <row r="191" spans="1:6" x14ac:dyDescent="0.25">
      <c r="A191" s="7">
        <v>42192</v>
      </c>
      <c r="B191" t="str">
        <f t="shared" si="14"/>
        <v>2015/28</v>
      </c>
      <c r="C191" t="str">
        <f t="shared" si="10"/>
        <v>2015/07</v>
      </c>
      <c r="D191">
        <f t="shared" si="11"/>
        <v>2015</v>
      </c>
      <c r="E191" t="str">
        <f t="shared" si="12"/>
        <v/>
      </c>
      <c r="F191" s="2" t="str">
        <f t="shared" si="13"/>
        <v>INSERT INTO Master_Calendar (Date, Week, Month, Year, Holiday, XmlMeta) VALUES(N'2015-07-07', N'2015/28', N'2015/07', N'2015', N'', N'&lt;Root&gt;&lt;/Root&gt;')</v>
      </c>
    </row>
    <row r="192" spans="1:6" x14ac:dyDescent="0.25">
      <c r="A192" s="7">
        <v>42193</v>
      </c>
      <c r="B192" t="str">
        <f t="shared" si="14"/>
        <v>2015/28</v>
      </c>
      <c r="C192" t="str">
        <f t="shared" si="10"/>
        <v>2015/07</v>
      </c>
      <c r="D192">
        <f t="shared" si="11"/>
        <v>2015</v>
      </c>
      <c r="E192" t="str">
        <f t="shared" si="12"/>
        <v/>
      </c>
      <c r="F192" s="2" t="str">
        <f t="shared" si="13"/>
        <v>INSERT INTO Master_Calendar (Date, Week, Month, Year, Holiday, XmlMeta) VALUES(N'2015-07-08', N'2015/28', N'2015/07', N'2015', N'', N'&lt;Root&gt;&lt;/Root&gt;')</v>
      </c>
    </row>
    <row r="193" spans="1:6" x14ac:dyDescent="0.25">
      <c r="A193" s="7">
        <v>42194</v>
      </c>
      <c r="B193" t="str">
        <f t="shared" si="14"/>
        <v>2015/28</v>
      </c>
      <c r="C193" t="str">
        <f t="shared" si="10"/>
        <v>2015/07</v>
      </c>
      <c r="D193">
        <f t="shared" si="11"/>
        <v>2015</v>
      </c>
      <c r="E193" t="str">
        <f t="shared" si="12"/>
        <v/>
      </c>
      <c r="F193" s="2" t="str">
        <f t="shared" si="13"/>
        <v>INSERT INTO Master_Calendar (Date, Week, Month, Year, Holiday, XmlMeta) VALUES(N'2015-07-09', N'2015/28', N'2015/07', N'2015', N'', N'&lt;Root&gt;&lt;/Root&gt;')</v>
      </c>
    </row>
    <row r="194" spans="1:6" x14ac:dyDescent="0.25">
      <c r="A194" s="7">
        <v>42195</v>
      </c>
      <c r="B194" t="str">
        <f t="shared" si="14"/>
        <v>2015/28</v>
      </c>
      <c r="C194" t="str">
        <f t="shared" si="10"/>
        <v>2015/07</v>
      </c>
      <c r="D194">
        <f t="shared" si="11"/>
        <v>2015</v>
      </c>
      <c r="E194" t="str">
        <f t="shared" si="12"/>
        <v/>
      </c>
      <c r="F194" s="2" t="str">
        <f t="shared" si="13"/>
        <v>INSERT INTO Master_Calendar (Date, Week, Month, Year, Holiday, XmlMeta) VALUES(N'2015-07-10', N'2015/28', N'2015/07', N'2015', N'', N'&lt;Root&gt;&lt;/Root&gt;')</v>
      </c>
    </row>
    <row r="195" spans="1:6" x14ac:dyDescent="0.25">
      <c r="A195" s="7">
        <v>42196</v>
      </c>
      <c r="B195" t="str">
        <f t="shared" si="14"/>
        <v>2015/28</v>
      </c>
      <c r="C195" t="str">
        <f t="shared" si="10"/>
        <v>2015/07</v>
      </c>
      <c r="D195">
        <f t="shared" si="11"/>
        <v>2015</v>
      </c>
      <c r="E195" t="str">
        <f t="shared" si="12"/>
        <v>Thứ 7</v>
      </c>
      <c r="F195" s="2" t="str">
        <f t="shared" si="13"/>
        <v>INSERT INTO Master_Calendar (Date, Week, Month, Year, Holiday, XmlMeta) VALUES(N'2015-07-11', N'2015/28', N'2015/07', N'2015', N'Thứ 7', N'&lt;Root&gt;&lt;/Root&gt;')</v>
      </c>
    </row>
    <row r="196" spans="1:6" x14ac:dyDescent="0.25">
      <c r="A196" s="7">
        <v>42197</v>
      </c>
      <c r="B196" t="str">
        <f t="shared" si="14"/>
        <v>2015/28</v>
      </c>
      <c r="C196" t="str">
        <f t="shared" si="10"/>
        <v>2015/07</v>
      </c>
      <c r="D196">
        <f t="shared" si="11"/>
        <v>2015</v>
      </c>
      <c r="E196" t="str">
        <f t="shared" si="12"/>
        <v>Chủ nhật</v>
      </c>
      <c r="F196" s="2" t="str">
        <f t="shared" si="13"/>
        <v>INSERT INTO Master_Calendar (Date, Week, Month, Year, Holiday, XmlMeta) VALUES(N'2015-07-12', N'2015/28', N'2015/07', N'2015', N'Chủ nhật', N'&lt;Root&gt;&lt;/Root&gt;')</v>
      </c>
    </row>
    <row r="197" spans="1:6" x14ac:dyDescent="0.25">
      <c r="A197" s="7">
        <v>42198</v>
      </c>
      <c r="B197" t="str">
        <f t="shared" si="14"/>
        <v>2015/29</v>
      </c>
      <c r="C197" t="str">
        <f t="shared" ref="C197:C260" si="15">YEAR(A197)&amp;"/"&amp;RIGHT("00"&amp;MONTH(A197),2)</f>
        <v>2015/07</v>
      </c>
      <c r="D197">
        <f t="shared" ref="D197:D260" si="16">YEAR(A197)</f>
        <v>2015</v>
      </c>
      <c r="E197" t="str">
        <f t="shared" ref="E197:E260" si="17">IF(WEEKDAY(A197)=1, "Chủ nhật", IF(WEEKDAY(A197)=7, "Thứ 7", ""))</f>
        <v/>
      </c>
      <c r="F197" s="2" t="str">
        <f t="shared" ref="F197:F260" si="18">"INSERT INTO "&amp;$B$1&amp;" ("&amp;$A$3&amp;", "&amp;$B$3&amp;", "&amp;$C$3&amp;", "&amp;$D$3&amp;", "&amp;$E$3&amp;", XmlMeta) VALUES(N'"&amp;TEXT(A197, "yyyy-MM-dd")&amp;"', N'"&amp;B197&amp;"', N'"&amp;C197&amp;"', N'"&amp;D197&amp;"', N'"&amp;E197&amp;"', N'&lt;Root&gt;&lt;/Root&gt;')"</f>
        <v>INSERT INTO Master_Calendar (Date, Week, Month, Year, Holiday, XmlMeta) VALUES(N'2015-07-13', N'2015/29', N'2015/07', N'2015', N'', N'&lt;Root&gt;&lt;/Root&gt;')</v>
      </c>
    </row>
    <row r="198" spans="1:6" x14ac:dyDescent="0.25">
      <c r="A198" s="7">
        <v>42199</v>
      </c>
      <c r="B198" t="str">
        <f t="shared" ref="B198:B261" si="19">YEAR(A198) &amp; "/" &amp; RIGHT("00" &amp; IF(WEEKNUM(A198, 2) &gt; 52, 52, WEEKNUM(A198, 2)), 2)</f>
        <v>2015/29</v>
      </c>
      <c r="C198" t="str">
        <f t="shared" si="15"/>
        <v>2015/07</v>
      </c>
      <c r="D198">
        <f t="shared" si="16"/>
        <v>2015</v>
      </c>
      <c r="E198" t="str">
        <f t="shared" si="17"/>
        <v/>
      </c>
      <c r="F198" s="2" t="str">
        <f t="shared" si="18"/>
        <v>INSERT INTO Master_Calendar (Date, Week, Month, Year, Holiday, XmlMeta) VALUES(N'2015-07-14', N'2015/29', N'2015/07', N'2015', N'', N'&lt;Root&gt;&lt;/Root&gt;')</v>
      </c>
    </row>
    <row r="199" spans="1:6" x14ac:dyDescent="0.25">
      <c r="A199" s="7">
        <v>42200</v>
      </c>
      <c r="B199" t="str">
        <f t="shared" si="19"/>
        <v>2015/29</v>
      </c>
      <c r="C199" t="str">
        <f t="shared" si="15"/>
        <v>2015/07</v>
      </c>
      <c r="D199">
        <f t="shared" si="16"/>
        <v>2015</v>
      </c>
      <c r="E199" t="str">
        <f t="shared" si="17"/>
        <v/>
      </c>
      <c r="F199" s="2" t="str">
        <f t="shared" si="18"/>
        <v>INSERT INTO Master_Calendar (Date, Week, Month, Year, Holiday, XmlMeta) VALUES(N'2015-07-15', N'2015/29', N'2015/07', N'2015', N'', N'&lt;Root&gt;&lt;/Root&gt;')</v>
      </c>
    </row>
    <row r="200" spans="1:6" x14ac:dyDescent="0.25">
      <c r="A200" s="7">
        <v>42201</v>
      </c>
      <c r="B200" t="str">
        <f t="shared" si="19"/>
        <v>2015/29</v>
      </c>
      <c r="C200" t="str">
        <f t="shared" si="15"/>
        <v>2015/07</v>
      </c>
      <c r="D200">
        <f t="shared" si="16"/>
        <v>2015</v>
      </c>
      <c r="E200" t="str">
        <f t="shared" si="17"/>
        <v/>
      </c>
      <c r="F200" s="2" t="str">
        <f t="shared" si="18"/>
        <v>INSERT INTO Master_Calendar (Date, Week, Month, Year, Holiday, XmlMeta) VALUES(N'2015-07-16', N'2015/29', N'2015/07', N'2015', N'', N'&lt;Root&gt;&lt;/Root&gt;')</v>
      </c>
    </row>
    <row r="201" spans="1:6" x14ac:dyDescent="0.25">
      <c r="A201" s="7">
        <v>42202</v>
      </c>
      <c r="B201" t="str">
        <f t="shared" si="19"/>
        <v>2015/29</v>
      </c>
      <c r="C201" t="str">
        <f t="shared" si="15"/>
        <v>2015/07</v>
      </c>
      <c r="D201">
        <f t="shared" si="16"/>
        <v>2015</v>
      </c>
      <c r="E201" t="str">
        <f t="shared" si="17"/>
        <v/>
      </c>
      <c r="F201" s="2" t="str">
        <f t="shared" si="18"/>
        <v>INSERT INTO Master_Calendar (Date, Week, Month, Year, Holiday, XmlMeta) VALUES(N'2015-07-17', N'2015/29', N'2015/07', N'2015', N'', N'&lt;Root&gt;&lt;/Root&gt;')</v>
      </c>
    </row>
    <row r="202" spans="1:6" x14ac:dyDescent="0.25">
      <c r="A202" s="7">
        <v>42203</v>
      </c>
      <c r="B202" t="str">
        <f t="shared" si="19"/>
        <v>2015/29</v>
      </c>
      <c r="C202" t="str">
        <f t="shared" si="15"/>
        <v>2015/07</v>
      </c>
      <c r="D202">
        <f t="shared" si="16"/>
        <v>2015</v>
      </c>
      <c r="E202" t="str">
        <f t="shared" si="17"/>
        <v>Thứ 7</v>
      </c>
      <c r="F202" s="2" t="str">
        <f t="shared" si="18"/>
        <v>INSERT INTO Master_Calendar (Date, Week, Month, Year, Holiday, XmlMeta) VALUES(N'2015-07-18', N'2015/29', N'2015/07', N'2015', N'Thứ 7', N'&lt;Root&gt;&lt;/Root&gt;')</v>
      </c>
    </row>
    <row r="203" spans="1:6" x14ac:dyDescent="0.25">
      <c r="A203" s="7">
        <v>42204</v>
      </c>
      <c r="B203" t="str">
        <f t="shared" si="19"/>
        <v>2015/29</v>
      </c>
      <c r="C203" t="str">
        <f t="shared" si="15"/>
        <v>2015/07</v>
      </c>
      <c r="D203">
        <f t="shared" si="16"/>
        <v>2015</v>
      </c>
      <c r="E203" t="str">
        <f t="shared" si="17"/>
        <v>Chủ nhật</v>
      </c>
      <c r="F203" s="2" t="str">
        <f t="shared" si="18"/>
        <v>INSERT INTO Master_Calendar (Date, Week, Month, Year, Holiday, XmlMeta) VALUES(N'2015-07-19', N'2015/29', N'2015/07', N'2015', N'Chủ nhật', N'&lt;Root&gt;&lt;/Root&gt;')</v>
      </c>
    </row>
    <row r="204" spans="1:6" x14ac:dyDescent="0.25">
      <c r="A204" s="7">
        <v>42205</v>
      </c>
      <c r="B204" t="str">
        <f t="shared" si="19"/>
        <v>2015/30</v>
      </c>
      <c r="C204" t="str">
        <f t="shared" si="15"/>
        <v>2015/07</v>
      </c>
      <c r="D204">
        <f t="shared" si="16"/>
        <v>2015</v>
      </c>
      <c r="E204" t="str">
        <f t="shared" si="17"/>
        <v/>
      </c>
      <c r="F204" s="2" t="str">
        <f t="shared" si="18"/>
        <v>INSERT INTO Master_Calendar (Date, Week, Month, Year, Holiday, XmlMeta) VALUES(N'2015-07-20', N'2015/30', N'2015/07', N'2015', N'', N'&lt;Root&gt;&lt;/Root&gt;')</v>
      </c>
    </row>
    <row r="205" spans="1:6" x14ac:dyDescent="0.25">
      <c r="A205" s="7">
        <v>42206</v>
      </c>
      <c r="B205" t="str">
        <f t="shared" si="19"/>
        <v>2015/30</v>
      </c>
      <c r="C205" t="str">
        <f t="shared" si="15"/>
        <v>2015/07</v>
      </c>
      <c r="D205">
        <f t="shared" si="16"/>
        <v>2015</v>
      </c>
      <c r="E205" t="str">
        <f t="shared" si="17"/>
        <v/>
      </c>
      <c r="F205" s="2" t="str">
        <f t="shared" si="18"/>
        <v>INSERT INTO Master_Calendar (Date, Week, Month, Year, Holiday, XmlMeta) VALUES(N'2015-07-21', N'2015/30', N'2015/07', N'2015', N'', N'&lt;Root&gt;&lt;/Root&gt;')</v>
      </c>
    </row>
    <row r="206" spans="1:6" x14ac:dyDescent="0.25">
      <c r="A206" s="7">
        <v>42207</v>
      </c>
      <c r="B206" t="str">
        <f t="shared" si="19"/>
        <v>2015/30</v>
      </c>
      <c r="C206" t="str">
        <f t="shared" si="15"/>
        <v>2015/07</v>
      </c>
      <c r="D206">
        <f t="shared" si="16"/>
        <v>2015</v>
      </c>
      <c r="E206" t="str">
        <f t="shared" si="17"/>
        <v/>
      </c>
      <c r="F206" s="2" t="str">
        <f t="shared" si="18"/>
        <v>INSERT INTO Master_Calendar (Date, Week, Month, Year, Holiday, XmlMeta) VALUES(N'2015-07-22', N'2015/30', N'2015/07', N'2015', N'', N'&lt;Root&gt;&lt;/Root&gt;')</v>
      </c>
    </row>
    <row r="207" spans="1:6" x14ac:dyDescent="0.25">
      <c r="A207" s="7">
        <v>42208</v>
      </c>
      <c r="B207" t="str">
        <f t="shared" si="19"/>
        <v>2015/30</v>
      </c>
      <c r="C207" t="str">
        <f t="shared" si="15"/>
        <v>2015/07</v>
      </c>
      <c r="D207">
        <f t="shared" si="16"/>
        <v>2015</v>
      </c>
      <c r="E207" t="str">
        <f t="shared" si="17"/>
        <v/>
      </c>
      <c r="F207" s="2" t="str">
        <f t="shared" si="18"/>
        <v>INSERT INTO Master_Calendar (Date, Week, Month, Year, Holiday, XmlMeta) VALUES(N'2015-07-23', N'2015/30', N'2015/07', N'2015', N'', N'&lt;Root&gt;&lt;/Root&gt;')</v>
      </c>
    </row>
    <row r="208" spans="1:6" x14ac:dyDescent="0.25">
      <c r="A208" s="7">
        <v>42209</v>
      </c>
      <c r="B208" t="str">
        <f t="shared" si="19"/>
        <v>2015/30</v>
      </c>
      <c r="C208" t="str">
        <f t="shared" si="15"/>
        <v>2015/07</v>
      </c>
      <c r="D208">
        <f t="shared" si="16"/>
        <v>2015</v>
      </c>
      <c r="E208" t="str">
        <f t="shared" si="17"/>
        <v/>
      </c>
      <c r="F208" s="2" t="str">
        <f t="shared" si="18"/>
        <v>INSERT INTO Master_Calendar (Date, Week, Month, Year, Holiday, XmlMeta) VALUES(N'2015-07-24', N'2015/30', N'2015/07', N'2015', N'', N'&lt;Root&gt;&lt;/Root&gt;')</v>
      </c>
    </row>
    <row r="209" spans="1:6" x14ac:dyDescent="0.25">
      <c r="A209" s="7">
        <v>42210</v>
      </c>
      <c r="B209" t="str">
        <f t="shared" si="19"/>
        <v>2015/30</v>
      </c>
      <c r="C209" t="str">
        <f t="shared" si="15"/>
        <v>2015/07</v>
      </c>
      <c r="D209">
        <f t="shared" si="16"/>
        <v>2015</v>
      </c>
      <c r="E209" t="str">
        <f t="shared" si="17"/>
        <v>Thứ 7</v>
      </c>
      <c r="F209" s="2" t="str">
        <f t="shared" si="18"/>
        <v>INSERT INTO Master_Calendar (Date, Week, Month, Year, Holiday, XmlMeta) VALUES(N'2015-07-25', N'2015/30', N'2015/07', N'2015', N'Thứ 7', N'&lt;Root&gt;&lt;/Root&gt;')</v>
      </c>
    </row>
    <row r="210" spans="1:6" x14ac:dyDescent="0.25">
      <c r="A210" s="7">
        <v>42211</v>
      </c>
      <c r="B210" t="str">
        <f t="shared" si="19"/>
        <v>2015/30</v>
      </c>
      <c r="C210" t="str">
        <f t="shared" si="15"/>
        <v>2015/07</v>
      </c>
      <c r="D210">
        <f t="shared" si="16"/>
        <v>2015</v>
      </c>
      <c r="E210" t="str">
        <f t="shared" si="17"/>
        <v>Chủ nhật</v>
      </c>
      <c r="F210" s="2" t="str">
        <f t="shared" si="18"/>
        <v>INSERT INTO Master_Calendar (Date, Week, Month, Year, Holiday, XmlMeta) VALUES(N'2015-07-26', N'2015/30', N'2015/07', N'2015', N'Chủ nhật', N'&lt;Root&gt;&lt;/Root&gt;')</v>
      </c>
    </row>
    <row r="211" spans="1:6" x14ac:dyDescent="0.25">
      <c r="A211" s="7">
        <v>42212</v>
      </c>
      <c r="B211" t="str">
        <f t="shared" si="19"/>
        <v>2015/31</v>
      </c>
      <c r="C211" t="str">
        <f t="shared" si="15"/>
        <v>2015/07</v>
      </c>
      <c r="D211">
        <f t="shared" si="16"/>
        <v>2015</v>
      </c>
      <c r="E211" t="str">
        <f t="shared" si="17"/>
        <v/>
      </c>
      <c r="F211" s="2" t="str">
        <f t="shared" si="18"/>
        <v>INSERT INTO Master_Calendar (Date, Week, Month, Year, Holiday, XmlMeta) VALUES(N'2015-07-27', N'2015/31', N'2015/07', N'2015', N'', N'&lt;Root&gt;&lt;/Root&gt;')</v>
      </c>
    </row>
    <row r="212" spans="1:6" x14ac:dyDescent="0.25">
      <c r="A212" s="7">
        <v>42213</v>
      </c>
      <c r="B212" t="str">
        <f t="shared" si="19"/>
        <v>2015/31</v>
      </c>
      <c r="C212" t="str">
        <f t="shared" si="15"/>
        <v>2015/07</v>
      </c>
      <c r="D212">
        <f t="shared" si="16"/>
        <v>2015</v>
      </c>
      <c r="E212" t="str">
        <f t="shared" si="17"/>
        <v/>
      </c>
      <c r="F212" s="2" t="str">
        <f t="shared" si="18"/>
        <v>INSERT INTO Master_Calendar (Date, Week, Month, Year, Holiday, XmlMeta) VALUES(N'2015-07-28', N'2015/31', N'2015/07', N'2015', N'', N'&lt;Root&gt;&lt;/Root&gt;')</v>
      </c>
    </row>
    <row r="213" spans="1:6" x14ac:dyDescent="0.25">
      <c r="A213" s="7">
        <v>42214</v>
      </c>
      <c r="B213" t="str">
        <f t="shared" si="19"/>
        <v>2015/31</v>
      </c>
      <c r="C213" t="str">
        <f t="shared" si="15"/>
        <v>2015/07</v>
      </c>
      <c r="D213">
        <f t="shared" si="16"/>
        <v>2015</v>
      </c>
      <c r="E213" t="str">
        <f t="shared" si="17"/>
        <v/>
      </c>
      <c r="F213" s="2" t="str">
        <f t="shared" si="18"/>
        <v>INSERT INTO Master_Calendar (Date, Week, Month, Year, Holiday, XmlMeta) VALUES(N'2015-07-29', N'2015/31', N'2015/07', N'2015', N'', N'&lt;Root&gt;&lt;/Root&gt;')</v>
      </c>
    </row>
    <row r="214" spans="1:6" x14ac:dyDescent="0.25">
      <c r="A214" s="7">
        <v>42215</v>
      </c>
      <c r="B214" t="str">
        <f t="shared" si="19"/>
        <v>2015/31</v>
      </c>
      <c r="C214" t="str">
        <f t="shared" si="15"/>
        <v>2015/07</v>
      </c>
      <c r="D214">
        <f t="shared" si="16"/>
        <v>2015</v>
      </c>
      <c r="E214" t="str">
        <f t="shared" si="17"/>
        <v/>
      </c>
      <c r="F214" s="2" t="str">
        <f t="shared" si="18"/>
        <v>INSERT INTO Master_Calendar (Date, Week, Month, Year, Holiday, XmlMeta) VALUES(N'2015-07-30', N'2015/31', N'2015/07', N'2015', N'', N'&lt;Root&gt;&lt;/Root&gt;')</v>
      </c>
    </row>
    <row r="215" spans="1:6" x14ac:dyDescent="0.25">
      <c r="A215" s="7">
        <v>42216</v>
      </c>
      <c r="B215" t="str">
        <f t="shared" si="19"/>
        <v>2015/31</v>
      </c>
      <c r="C215" t="str">
        <f t="shared" si="15"/>
        <v>2015/07</v>
      </c>
      <c r="D215">
        <f t="shared" si="16"/>
        <v>2015</v>
      </c>
      <c r="E215" t="str">
        <f t="shared" si="17"/>
        <v/>
      </c>
      <c r="F215" s="2" t="str">
        <f t="shared" si="18"/>
        <v>INSERT INTO Master_Calendar (Date, Week, Month, Year, Holiday, XmlMeta) VALUES(N'2015-07-31', N'2015/31', N'2015/07', N'2015', N'', N'&lt;Root&gt;&lt;/Root&gt;')</v>
      </c>
    </row>
    <row r="216" spans="1:6" x14ac:dyDescent="0.25">
      <c r="A216" s="7">
        <v>42217</v>
      </c>
      <c r="B216" t="str">
        <f t="shared" si="19"/>
        <v>2015/31</v>
      </c>
      <c r="C216" t="str">
        <f t="shared" si="15"/>
        <v>2015/08</v>
      </c>
      <c r="D216">
        <f t="shared" si="16"/>
        <v>2015</v>
      </c>
      <c r="E216" t="str">
        <f t="shared" si="17"/>
        <v>Thứ 7</v>
      </c>
      <c r="F216" s="2" t="str">
        <f t="shared" si="18"/>
        <v>INSERT INTO Master_Calendar (Date, Week, Month, Year, Holiday, XmlMeta) VALUES(N'2015-08-01', N'2015/31', N'2015/08', N'2015', N'Thứ 7', N'&lt;Root&gt;&lt;/Root&gt;')</v>
      </c>
    </row>
    <row r="217" spans="1:6" x14ac:dyDescent="0.25">
      <c r="A217" s="7">
        <v>42218</v>
      </c>
      <c r="B217" t="str">
        <f t="shared" si="19"/>
        <v>2015/31</v>
      </c>
      <c r="C217" t="str">
        <f t="shared" si="15"/>
        <v>2015/08</v>
      </c>
      <c r="D217">
        <f t="shared" si="16"/>
        <v>2015</v>
      </c>
      <c r="E217" t="str">
        <f t="shared" si="17"/>
        <v>Chủ nhật</v>
      </c>
      <c r="F217" s="2" t="str">
        <f t="shared" si="18"/>
        <v>INSERT INTO Master_Calendar (Date, Week, Month, Year, Holiday, XmlMeta) VALUES(N'2015-08-02', N'2015/31', N'2015/08', N'2015', N'Chủ nhật', N'&lt;Root&gt;&lt;/Root&gt;')</v>
      </c>
    </row>
    <row r="218" spans="1:6" x14ac:dyDescent="0.25">
      <c r="A218" s="7">
        <v>42219</v>
      </c>
      <c r="B218" t="str">
        <f t="shared" si="19"/>
        <v>2015/32</v>
      </c>
      <c r="C218" t="str">
        <f t="shared" si="15"/>
        <v>2015/08</v>
      </c>
      <c r="D218">
        <f t="shared" si="16"/>
        <v>2015</v>
      </c>
      <c r="E218" t="str">
        <f t="shared" si="17"/>
        <v/>
      </c>
      <c r="F218" s="2" t="str">
        <f t="shared" si="18"/>
        <v>INSERT INTO Master_Calendar (Date, Week, Month, Year, Holiday, XmlMeta) VALUES(N'2015-08-03', N'2015/32', N'2015/08', N'2015', N'', N'&lt;Root&gt;&lt;/Root&gt;')</v>
      </c>
    </row>
    <row r="219" spans="1:6" x14ac:dyDescent="0.25">
      <c r="A219" s="7">
        <v>42220</v>
      </c>
      <c r="B219" t="str">
        <f t="shared" si="19"/>
        <v>2015/32</v>
      </c>
      <c r="C219" t="str">
        <f t="shared" si="15"/>
        <v>2015/08</v>
      </c>
      <c r="D219">
        <f t="shared" si="16"/>
        <v>2015</v>
      </c>
      <c r="E219" t="str">
        <f t="shared" si="17"/>
        <v/>
      </c>
      <c r="F219" s="2" t="str">
        <f t="shared" si="18"/>
        <v>INSERT INTO Master_Calendar (Date, Week, Month, Year, Holiday, XmlMeta) VALUES(N'2015-08-04', N'2015/32', N'2015/08', N'2015', N'', N'&lt;Root&gt;&lt;/Root&gt;')</v>
      </c>
    </row>
    <row r="220" spans="1:6" x14ac:dyDescent="0.25">
      <c r="A220" s="7">
        <v>42221</v>
      </c>
      <c r="B220" t="str">
        <f t="shared" si="19"/>
        <v>2015/32</v>
      </c>
      <c r="C220" t="str">
        <f t="shared" si="15"/>
        <v>2015/08</v>
      </c>
      <c r="D220">
        <f t="shared" si="16"/>
        <v>2015</v>
      </c>
      <c r="E220" t="str">
        <f t="shared" si="17"/>
        <v/>
      </c>
      <c r="F220" s="2" t="str">
        <f t="shared" si="18"/>
        <v>INSERT INTO Master_Calendar (Date, Week, Month, Year, Holiday, XmlMeta) VALUES(N'2015-08-05', N'2015/32', N'2015/08', N'2015', N'', N'&lt;Root&gt;&lt;/Root&gt;')</v>
      </c>
    </row>
    <row r="221" spans="1:6" x14ac:dyDescent="0.25">
      <c r="A221" s="7">
        <v>42222</v>
      </c>
      <c r="B221" t="str">
        <f t="shared" si="19"/>
        <v>2015/32</v>
      </c>
      <c r="C221" t="str">
        <f t="shared" si="15"/>
        <v>2015/08</v>
      </c>
      <c r="D221">
        <f t="shared" si="16"/>
        <v>2015</v>
      </c>
      <c r="E221" t="str">
        <f t="shared" si="17"/>
        <v/>
      </c>
      <c r="F221" s="2" t="str">
        <f t="shared" si="18"/>
        <v>INSERT INTO Master_Calendar (Date, Week, Month, Year, Holiday, XmlMeta) VALUES(N'2015-08-06', N'2015/32', N'2015/08', N'2015', N'', N'&lt;Root&gt;&lt;/Root&gt;')</v>
      </c>
    </row>
    <row r="222" spans="1:6" x14ac:dyDescent="0.25">
      <c r="A222" s="7">
        <v>42223</v>
      </c>
      <c r="B222" t="str">
        <f t="shared" si="19"/>
        <v>2015/32</v>
      </c>
      <c r="C222" t="str">
        <f t="shared" si="15"/>
        <v>2015/08</v>
      </c>
      <c r="D222">
        <f t="shared" si="16"/>
        <v>2015</v>
      </c>
      <c r="E222" t="str">
        <f t="shared" si="17"/>
        <v/>
      </c>
      <c r="F222" s="2" t="str">
        <f t="shared" si="18"/>
        <v>INSERT INTO Master_Calendar (Date, Week, Month, Year, Holiday, XmlMeta) VALUES(N'2015-08-07', N'2015/32', N'2015/08', N'2015', N'', N'&lt;Root&gt;&lt;/Root&gt;')</v>
      </c>
    </row>
    <row r="223" spans="1:6" x14ac:dyDescent="0.25">
      <c r="A223" s="7">
        <v>42224</v>
      </c>
      <c r="B223" t="str">
        <f t="shared" si="19"/>
        <v>2015/32</v>
      </c>
      <c r="C223" t="str">
        <f t="shared" si="15"/>
        <v>2015/08</v>
      </c>
      <c r="D223">
        <f t="shared" si="16"/>
        <v>2015</v>
      </c>
      <c r="E223" t="str">
        <f t="shared" si="17"/>
        <v>Thứ 7</v>
      </c>
      <c r="F223" s="2" t="str">
        <f t="shared" si="18"/>
        <v>INSERT INTO Master_Calendar (Date, Week, Month, Year, Holiday, XmlMeta) VALUES(N'2015-08-08', N'2015/32', N'2015/08', N'2015', N'Thứ 7', N'&lt;Root&gt;&lt;/Root&gt;')</v>
      </c>
    </row>
    <row r="224" spans="1:6" x14ac:dyDescent="0.25">
      <c r="A224" s="7">
        <v>42225</v>
      </c>
      <c r="B224" t="str">
        <f t="shared" si="19"/>
        <v>2015/32</v>
      </c>
      <c r="C224" t="str">
        <f t="shared" si="15"/>
        <v>2015/08</v>
      </c>
      <c r="D224">
        <f t="shared" si="16"/>
        <v>2015</v>
      </c>
      <c r="E224" t="str">
        <f t="shared" si="17"/>
        <v>Chủ nhật</v>
      </c>
      <c r="F224" s="2" t="str">
        <f t="shared" si="18"/>
        <v>INSERT INTO Master_Calendar (Date, Week, Month, Year, Holiday, XmlMeta) VALUES(N'2015-08-09', N'2015/32', N'2015/08', N'2015', N'Chủ nhật', N'&lt;Root&gt;&lt;/Root&gt;')</v>
      </c>
    </row>
    <row r="225" spans="1:6" x14ac:dyDescent="0.25">
      <c r="A225" s="7">
        <v>42226</v>
      </c>
      <c r="B225" t="str">
        <f t="shared" si="19"/>
        <v>2015/33</v>
      </c>
      <c r="C225" t="str">
        <f t="shared" si="15"/>
        <v>2015/08</v>
      </c>
      <c r="D225">
        <f t="shared" si="16"/>
        <v>2015</v>
      </c>
      <c r="E225" t="str">
        <f t="shared" si="17"/>
        <v/>
      </c>
      <c r="F225" s="2" t="str">
        <f t="shared" si="18"/>
        <v>INSERT INTO Master_Calendar (Date, Week, Month, Year, Holiday, XmlMeta) VALUES(N'2015-08-10', N'2015/33', N'2015/08', N'2015', N'', N'&lt;Root&gt;&lt;/Root&gt;')</v>
      </c>
    </row>
    <row r="226" spans="1:6" x14ac:dyDescent="0.25">
      <c r="A226" s="7">
        <v>42227</v>
      </c>
      <c r="B226" t="str">
        <f t="shared" si="19"/>
        <v>2015/33</v>
      </c>
      <c r="C226" t="str">
        <f t="shared" si="15"/>
        <v>2015/08</v>
      </c>
      <c r="D226">
        <f t="shared" si="16"/>
        <v>2015</v>
      </c>
      <c r="E226" t="str">
        <f t="shared" si="17"/>
        <v/>
      </c>
      <c r="F226" s="2" t="str">
        <f t="shared" si="18"/>
        <v>INSERT INTO Master_Calendar (Date, Week, Month, Year, Holiday, XmlMeta) VALUES(N'2015-08-11', N'2015/33', N'2015/08', N'2015', N'', N'&lt;Root&gt;&lt;/Root&gt;')</v>
      </c>
    </row>
    <row r="227" spans="1:6" x14ac:dyDescent="0.25">
      <c r="A227" s="7">
        <v>42228</v>
      </c>
      <c r="B227" t="str">
        <f t="shared" si="19"/>
        <v>2015/33</v>
      </c>
      <c r="C227" t="str">
        <f t="shared" si="15"/>
        <v>2015/08</v>
      </c>
      <c r="D227">
        <f t="shared" si="16"/>
        <v>2015</v>
      </c>
      <c r="E227" t="str">
        <f t="shared" si="17"/>
        <v/>
      </c>
      <c r="F227" s="2" t="str">
        <f t="shared" si="18"/>
        <v>INSERT INTO Master_Calendar (Date, Week, Month, Year, Holiday, XmlMeta) VALUES(N'2015-08-12', N'2015/33', N'2015/08', N'2015', N'', N'&lt;Root&gt;&lt;/Root&gt;')</v>
      </c>
    </row>
    <row r="228" spans="1:6" x14ac:dyDescent="0.25">
      <c r="A228" s="7">
        <v>42229</v>
      </c>
      <c r="B228" t="str">
        <f t="shared" si="19"/>
        <v>2015/33</v>
      </c>
      <c r="C228" t="str">
        <f t="shared" si="15"/>
        <v>2015/08</v>
      </c>
      <c r="D228">
        <f t="shared" si="16"/>
        <v>2015</v>
      </c>
      <c r="E228" t="str">
        <f t="shared" si="17"/>
        <v/>
      </c>
      <c r="F228" s="2" t="str">
        <f t="shared" si="18"/>
        <v>INSERT INTO Master_Calendar (Date, Week, Month, Year, Holiday, XmlMeta) VALUES(N'2015-08-13', N'2015/33', N'2015/08', N'2015', N'', N'&lt;Root&gt;&lt;/Root&gt;')</v>
      </c>
    </row>
    <row r="229" spans="1:6" x14ac:dyDescent="0.25">
      <c r="A229" s="7">
        <v>42230</v>
      </c>
      <c r="B229" t="str">
        <f t="shared" si="19"/>
        <v>2015/33</v>
      </c>
      <c r="C229" t="str">
        <f t="shared" si="15"/>
        <v>2015/08</v>
      </c>
      <c r="D229">
        <f t="shared" si="16"/>
        <v>2015</v>
      </c>
      <c r="E229" t="str">
        <f t="shared" si="17"/>
        <v/>
      </c>
      <c r="F229" s="2" t="str">
        <f t="shared" si="18"/>
        <v>INSERT INTO Master_Calendar (Date, Week, Month, Year, Holiday, XmlMeta) VALUES(N'2015-08-14', N'2015/33', N'2015/08', N'2015', N'', N'&lt;Root&gt;&lt;/Root&gt;')</v>
      </c>
    </row>
    <row r="230" spans="1:6" x14ac:dyDescent="0.25">
      <c r="A230" s="7">
        <v>42231</v>
      </c>
      <c r="B230" t="str">
        <f t="shared" si="19"/>
        <v>2015/33</v>
      </c>
      <c r="C230" t="str">
        <f t="shared" si="15"/>
        <v>2015/08</v>
      </c>
      <c r="D230">
        <f t="shared" si="16"/>
        <v>2015</v>
      </c>
      <c r="E230" t="str">
        <f t="shared" si="17"/>
        <v>Thứ 7</v>
      </c>
      <c r="F230" s="2" t="str">
        <f t="shared" si="18"/>
        <v>INSERT INTO Master_Calendar (Date, Week, Month, Year, Holiday, XmlMeta) VALUES(N'2015-08-15', N'2015/33', N'2015/08', N'2015', N'Thứ 7', N'&lt;Root&gt;&lt;/Root&gt;')</v>
      </c>
    </row>
    <row r="231" spans="1:6" x14ac:dyDescent="0.25">
      <c r="A231" s="7">
        <v>42232</v>
      </c>
      <c r="B231" t="str">
        <f t="shared" si="19"/>
        <v>2015/33</v>
      </c>
      <c r="C231" t="str">
        <f t="shared" si="15"/>
        <v>2015/08</v>
      </c>
      <c r="D231">
        <f t="shared" si="16"/>
        <v>2015</v>
      </c>
      <c r="E231" t="str">
        <f t="shared" si="17"/>
        <v>Chủ nhật</v>
      </c>
      <c r="F231" s="2" t="str">
        <f t="shared" si="18"/>
        <v>INSERT INTO Master_Calendar (Date, Week, Month, Year, Holiday, XmlMeta) VALUES(N'2015-08-16', N'2015/33', N'2015/08', N'2015', N'Chủ nhật', N'&lt;Root&gt;&lt;/Root&gt;')</v>
      </c>
    </row>
    <row r="232" spans="1:6" x14ac:dyDescent="0.25">
      <c r="A232" s="7">
        <v>42233</v>
      </c>
      <c r="B232" t="str">
        <f t="shared" si="19"/>
        <v>2015/34</v>
      </c>
      <c r="C232" t="str">
        <f t="shared" si="15"/>
        <v>2015/08</v>
      </c>
      <c r="D232">
        <f t="shared" si="16"/>
        <v>2015</v>
      </c>
      <c r="E232" t="str">
        <f t="shared" si="17"/>
        <v/>
      </c>
      <c r="F232" s="2" t="str">
        <f t="shared" si="18"/>
        <v>INSERT INTO Master_Calendar (Date, Week, Month, Year, Holiday, XmlMeta) VALUES(N'2015-08-17', N'2015/34', N'2015/08', N'2015', N'', N'&lt;Root&gt;&lt;/Root&gt;')</v>
      </c>
    </row>
    <row r="233" spans="1:6" x14ac:dyDescent="0.25">
      <c r="A233" s="7">
        <v>42234</v>
      </c>
      <c r="B233" t="str">
        <f t="shared" si="19"/>
        <v>2015/34</v>
      </c>
      <c r="C233" t="str">
        <f t="shared" si="15"/>
        <v>2015/08</v>
      </c>
      <c r="D233">
        <f t="shared" si="16"/>
        <v>2015</v>
      </c>
      <c r="E233" t="str">
        <f t="shared" si="17"/>
        <v/>
      </c>
      <c r="F233" s="2" t="str">
        <f t="shared" si="18"/>
        <v>INSERT INTO Master_Calendar (Date, Week, Month, Year, Holiday, XmlMeta) VALUES(N'2015-08-18', N'2015/34', N'2015/08', N'2015', N'', N'&lt;Root&gt;&lt;/Root&gt;')</v>
      </c>
    </row>
    <row r="234" spans="1:6" x14ac:dyDescent="0.25">
      <c r="A234" s="7">
        <v>42235</v>
      </c>
      <c r="B234" t="str">
        <f t="shared" si="19"/>
        <v>2015/34</v>
      </c>
      <c r="C234" t="str">
        <f t="shared" si="15"/>
        <v>2015/08</v>
      </c>
      <c r="D234">
        <f t="shared" si="16"/>
        <v>2015</v>
      </c>
      <c r="E234" t="str">
        <f t="shared" si="17"/>
        <v/>
      </c>
      <c r="F234" s="2" t="str">
        <f t="shared" si="18"/>
        <v>INSERT INTO Master_Calendar (Date, Week, Month, Year, Holiday, XmlMeta) VALUES(N'2015-08-19', N'2015/34', N'2015/08', N'2015', N'', N'&lt;Root&gt;&lt;/Root&gt;')</v>
      </c>
    </row>
    <row r="235" spans="1:6" x14ac:dyDescent="0.25">
      <c r="A235" s="7">
        <v>42236</v>
      </c>
      <c r="B235" t="str">
        <f t="shared" si="19"/>
        <v>2015/34</v>
      </c>
      <c r="C235" t="str">
        <f t="shared" si="15"/>
        <v>2015/08</v>
      </c>
      <c r="D235">
        <f t="shared" si="16"/>
        <v>2015</v>
      </c>
      <c r="E235" t="str">
        <f t="shared" si="17"/>
        <v/>
      </c>
      <c r="F235" s="2" t="str">
        <f t="shared" si="18"/>
        <v>INSERT INTO Master_Calendar (Date, Week, Month, Year, Holiday, XmlMeta) VALUES(N'2015-08-20', N'2015/34', N'2015/08', N'2015', N'', N'&lt;Root&gt;&lt;/Root&gt;')</v>
      </c>
    </row>
    <row r="236" spans="1:6" x14ac:dyDescent="0.25">
      <c r="A236" s="7">
        <v>42237</v>
      </c>
      <c r="B236" t="str">
        <f t="shared" si="19"/>
        <v>2015/34</v>
      </c>
      <c r="C236" t="str">
        <f t="shared" si="15"/>
        <v>2015/08</v>
      </c>
      <c r="D236">
        <f t="shared" si="16"/>
        <v>2015</v>
      </c>
      <c r="E236" t="str">
        <f t="shared" si="17"/>
        <v/>
      </c>
      <c r="F236" s="2" t="str">
        <f t="shared" si="18"/>
        <v>INSERT INTO Master_Calendar (Date, Week, Month, Year, Holiday, XmlMeta) VALUES(N'2015-08-21', N'2015/34', N'2015/08', N'2015', N'', N'&lt;Root&gt;&lt;/Root&gt;')</v>
      </c>
    </row>
    <row r="237" spans="1:6" x14ac:dyDescent="0.25">
      <c r="A237" s="7">
        <v>42238</v>
      </c>
      <c r="B237" t="str">
        <f t="shared" si="19"/>
        <v>2015/34</v>
      </c>
      <c r="C237" t="str">
        <f t="shared" si="15"/>
        <v>2015/08</v>
      </c>
      <c r="D237">
        <f t="shared" si="16"/>
        <v>2015</v>
      </c>
      <c r="E237" t="str">
        <f t="shared" si="17"/>
        <v>Thứ 7</v>
      </c>
      <c r="F237" s="2" t="str">
        <f t="shared" si="18"/>
        <v>INSERT INTO Master_Calendar (Date, Week, Month, Year, Holiday, XmlMeta) VALUES(N'2015-08-22', N'2015/34', N'2015/08', N'2015', N'Thứ 7', N'&lt;Root&gt;&lt;/Root&gt;')</v>
      </c>
    </row>
    <row r="238" spans="1:6" x14ac:dyDescent="0.25">
      <c r="A238" s="7">
        <v>42239</v>
      </c>
      <c r="B238" t="str">
        <f t="shared" si="19"/>
        <v>2015/34</v>
      </c>
      <c r="C238" t="str">
        <f t="shared" si="15"/>
        <v>2015/08</v>
      </c>
      <c r="D238">
        <f t="shared" si="16"/>
        <v>2015</v>
      </c>
      <c r="E238" t="str">
        <f t="shared" si="17"/>
        <v>Chủ nhật</v>
      </c>
      <c r="F238" s="2" t="str">
        <f t="shared" si="18"/>
        <v>INSERT INTO Master_Calendar (Date, Week, Month, Year, Holiday, XmlMeta) VALUES(N'2015-08-23', N'2015/34', N'2015/08', N'2015', N'Chủ nhật', N'&lt;Root&gt;&lt;/Root&gt;')</v>
      </c>
    </row>
    <row r="239" spans="1:6" x14ac:dyDescent="0.25">
      <c r="A239" s="7">
        <v>42240</v>
      </c>
      <c r="B239" t="str">
        <f t="shared" si="19"/>
        <v>2015/35</v>
      </c>
      <c r="C239" t="str">
        <f t="shared" si="15"/>
        <v>2015/08</v>
      </c>
      <c r="D239">
        <f t="shared" si="16"/>
        <v>2015</v>
      </c>
      <c r="E239" t="str">
        <f t="shared" si="17"/>
        <v/>
      </c>
      <c r="F239" s="2" t="str">
        <f t="shared" si="18"/>
        <v>INSERT INTO Master_Calendar (Date, Week, Month, Year, Holiday, XmlMeta) VALUES(N'2015-08-24', N'2015/35', N'2015/08', N'2015', N'', N'&lt;Root&gt;&lt;/Root&gt;')</v>
      </c>
    </row>
    <row r="240" spans="1:6" x14ac:dyDescent="0.25">
      <c r="A240" s="7">
        <v>42241</v>
      </c>
      <c r="B240" t="str">
        <f t="shared" si="19"/>
        <v>2015/35</v>
      </c>
      <c r="C240" t="str">
        <f t="shared" si="15"/>
        <v>2015/08</v>
      </c>
      <c r="D240">
        <f t="shared" si="16"/>
        <v>2015</v>
      </c>
      <c r="E240" t="str">
        <f t="shared" si="17"/>
        <v/>
      </c>
      <c r="F240" s="2" t="str">
        <f t="shared" si="18"/>
        <v>INSERT INTO Master_Calendar (Date, Week, Month, Year, Holiday, XmlMeta) VALUES(N'2015-08-25', N'2015/35', N'2015/08', N'2015', N'', N'&lt;Root&gt;&lt;/Root&gt;')</v>
      </c>
    </row>
    <row r="241" spans="1:6" x14ac:dyDescent="0.25">
      <c r="A241" s="7">
        <v>42242</v>
      </c>
      <c r="B241" t="str">
        <f t="shared" si="19"/>
        <v>2015/35</v>
      </c>
      <c r="C241" t="str">
        <f t="shared" si="15"/>
        <v>2015/08</v>
      </c>
      <c r="D241">
        <f t="shared" si="16"/>
        <v>2015</v>
      </c>
      <c r="E241" t="str">
        <f t="shared" si="17"/>
        <v/>
      </c>
      <c r="F241" s="2" t="str">
        <f t="shared" si="18"/>
        <v>INSERT INTO Master_Calendar (Date, Week, Month, Year, Holiday, XmlMeta) VALUES(N'2015-08-26', N'2015/35', N'2015/08', N'2015', N'', N'&lt;Root&gt;&lt;/Root&gt;')</v>
      </c>
    </row>
    <row r="242" spans="1:6" x14ac:dyDescent="0.25">
      <c r="A242" s="7">
        <v>42243</v>
      </c>
      <c r="B242" t="str">
        <f t="shared" si="19"/>
        <v>2015/35</v>
      </c>
      <c r="C242" t="str">
        <f t="shared" si="15"/>
        <v>2015/08</v>
      </c>
      <c r="D242">
        <f t="shared" si="16"/>
        <v>2015</v>
      </c>
      <c r="E242" t="str">
        <f t="shared" si="17"/>
        <v/>
      </c>
      <c r="F242" s="2" t="str">
        <f t="shared" si="18"/>
        <v>INSERT INTO Master_Calendar (Date, Week, Month, Year, Holiday, XmlMeta) VALUES(N'2015-08-27', N'2015/35', N'2015/08', N'2015', N'', N'&lt;Root&gt;&lt;/Root&gt;')</v>
      </c>
    </row>
    <row r="243" spans="1:6" x14ac:dyDescent="0.25">
      <c r="A243" s="7">
        <v>42244</v>
      </c>
      <c r="B243" t="str">
        <f t="shared" si="19"/>
        <v>2015/35</v>
      </c>
      <c r="C243" t="str">
        <f t="shared" si="15"/>
        <v>2015/08</v>
      </c>
      <c r="D243">
        <f t="shared" si="16"/>
        <v>2015</v>
      </c>
      <c r="E243" t="str">
        <f t="shared" si="17"/>
        <v/>
      </c>
      <c r="F243" s="2" t="str">
        <f t="shared" si="18"/>
        <v>INSERT INTO Master_Calendar (Date, Week, Month, Year, Holiday, XmlMeta) VALUES(N'2015-08-28', N'2015/35', N'2015/08', N'2015', N'', N'&lt;Root&gt;&lt;/Root&gt;')</v>
      </c>
    </row>
    <row r="244" spans="1:6" x14ac:dyDescent="0.25">
      <c r="A244" s="7">
        <v>42245</v>
      </c>
      <c r="B244" t="str">
        <f t="shared" si="19"/>
        <v>2015/35</v>
      </c>
      <c r="C244" t="str">
        <f t="shared" si="15"/>
        <v>2015/08</v>
      </c>
      <c r="D244">
        <f t="shared" si="16"/>
        <v>2015</v>
      </c>
      <c r="E244" t="str">
        <f t="shared" si="17"/>
        <v>Thứ 7</v>
      </c>
      <c r="F244" s="2" t="str">
        <f t="shared" si="18"/>
        <v>INSERT INTO Master_Calendar (Date, Week, Month, Year, Holiday, XmlMeta) VALUES(N'2015-08-29', N'2015/35', N'2015/08', N'2015', N'Thứ 7', N'&lt;Root&gt;&lt;/Root&gt;')</v>
      </c>
    </row>
    <row r="245" spans="1:6" x14ac:dyDescent="0.25">
      <c r="A245" s="7">
        <v>42246</v>
      </c>
      <c r="B245" t="str">
        <f t="shared" si="19"/>
        <v>2015/35</v>
      </c>
      <c r="C245" t="str">
        <f t="shared" si="15"/>
        <v>2015/08</v>
      </c>
      <c r="D245">
        <f t="shared" si="16"/>
        <v>2015</v>
      </c>
      <c r="E245" t="str">
        <f t="shared" si="17"/>
        <v>Chủ nhật</v>
      </c>
      <c r="F245" s="2" t="str">
        <f t="shared" si="18"/>
        <v>INSERT INTO Master_Calendar (Date, Week, Month, Year, Holiday, XmlMeta) VALUES(N'2015-08-30', N'2015/35', N'2015/08', N'2015', N'Chủ nhật', N'&lt;Root&gt;&lt;/Root&gt;')</v>
      </c>
    </row>
    <row r="246" spans="1:6" x14ac:dyDescent="0.25">
      <c r="A246" s="7">
        <v>42247</v>
      </c>
      <c r="B246" t="str">
        <f t="shared" si="19"/>
        <v>2015/36</v>
      </c>
      <c r="C246" t="str">
        <f t="shared" si="15"/>
        <v>2015/08</v>
      </c>
      <c r="D246">
        <f t="shared" si="16"/>
        <v>2015</v>
      </c>
      <c r="E246" t="str">
        <f t="shared" si="17"/>
        <v/>
      </c>
      <c r="F246" s="2" t="str">
        <f t="shared" si="18"/>
        <v>INSERT INTO Master_Calendar (Date, Week, Month, Year, Holiday, XmlMeta) VALUES(N'2015-08-31', N'2015/36', N'2015/08', N'2015', N'', N'&lt;Root&gt;&lt;/Root&gt;')</v>
      </c>
    </row>
    <row r="247" spans="1:6" x14ac:dyDescent="0.25">
      <c r="A247" s="7">
        <v>42248</v>
      </c>
      <c r="B247" t="str">
        <f t="shared" si="19"/>
        <v>2015/36</v>
      </c>
      <c r="C247" t="str">
        <f t="shared" si="15"/>
        <v>2015/09</v>
      </c>
      <c r="D247">
        <f t="shared" si="16"/>
        <v>2015</v>
      </c>
      <c r="E247" t="str">
        <f t="shared" si="17"/>
        <v/>
      </c>
      <c r="F247" s="2" t="str">
        <f t="shared" si="18"/>
        <v>INSERT INTO Master_Calendar (Date, Week, Month, Year, Holiday, XmlMeta) VALUES(N'2015-09-01', N'2015/36', N'2015/09', N'2015', N'', N'&lt;Root&gt;&lt;/Root&gt;')</v>
      </c>
    </row>
    <row r="248" spans="1:6" x14ac:dyDescent="0.25">
      <c r="A248" s="7">
        <v>42249</v>
      </c>
      <c r="B248" t="str">
        <f t="shared" si="19"/>
        <v>2015/36</v>
      </c>
      <c r="C248" t="str">
        <f t="shared" si="15"/>
        <v>2015/09</v>
      </c>
      <c r="D248">
        <f t="shared" si="16"/>
        <v>2015</v>
      </c>
      <c r="E248" t="str">
        <f t="shared" si="17"/>
        <v/>
      </c>
      <c r="F248" s="2" t="str">
        <f t="shared" si="18"/>
        <v>INSERT INTO Master_Calendar (Date, Week, Month, Year, Holiday, XmlMeta) VALUES(N'2015-09-02', N'2015/36', N'2015/09', N'2015', N'', N'&lt;Root&gt;&lt;/Root&gt;')</v>
      </c>
    </row>
    <row r="249" spans="1:6" x14ac:dyDescent="0.25">
      <c r="A249" s="7">
        <v>42250</v>
      </c>
      <c r="B249" t="str">
        <f t="shared" si="19"/>
        <v>2015/36</v>
      </c>
      <c r="C249" t="str">
        <f t="shared" si="15"/>
        <v>2015/09</v>
      </c>
      <c r="D249">
        <f t="shared" si="16"/>
        <v>2015</v>
      </c>
      <c r="E249" t="str">
        <f t="shared" si="17"/>
        <v/>
      </c>
      <c r="F249" s="2" t="str">
        <f t="shared" si="18"/>
        <v>INSERT INTO Master_Calendar (Date, Week, Month, Year, Holiday, XmlMeta) VALUES(N'2015-09-03', N'2015/36', N'2015/09', N'2015', N'', N'&lt;Root&gt;&lt;/Root&gt;')</v>
      </c>
    </row>
    <row r="250" spans="1:6" x14ac:dyDescent="0.25">
      <c r="A250" s="7">
        <v>42251</v>
      </c>
      <c r="B250" t="str">
        <f t="shared" si="19"/>
        <v>2015/36</v>
      </c>
      <c r="C250" t="str">
        <f t="shared" si="15"/>
        <v>2015/09</v>
      </c>
      <c r="D250">
        <f t="shared" si="16"/>
        <v>2015</v>
      </c>
      <c r="E250" t="str">
        <f t="shared" si="17"/>
        <v/>
      </c>
      <c r="F250" s="2" t="str">
        <f t="shared" si="18"/>
        <v>INSERT INTO Master_Calendar (Date, Week, Month, Year, Holiday, XmlMeta) VALUES(N'2015-09-04', N'2015/36', N'2015/09', N'2015', N'', N'&lt;Root&gt;&lt;/Root&gt;')</v>
      </c>
    </row>
    <row r="251" spans="1:6" x14ac:dyDescent="0.25">
      <c r="A251" s="7">
        <v>42252</v>
      </c>
      <c r="B251" t="str">
        <f t="shared" si="19"/>
        <v>2015/36</v>
      </c>
      <c r="C251" t="str">
        <f t="shared" si="15"/>
        <v>2015/09</v>
      </c>
      <c r="D251">
        <f t="shared" si="16"/>
        <v>2015</v>
      </c>
      <c r="E251" t="str">
        <f t="shared" si="17"/>
        <v>Thứ 7</v>
      </c>
      <c r="F251" s="2" t="str">
        <f t="shared" si="18"/>
        <v>INSERT INTO Master_Calendar (Date, Week, Month, Year, Holiday, XmlMeta) VALUES(N'2015-09-05', N'2015/36', N'2015/09', N'2015', N'Thứ 7', N'&lt;Root&gt;&lt;/Root&gt;')</v>
      </c>
    </row>
    <row r="252" spans="1:6" x14ac:dyDescent="0.25">
      <c r="A252" s="7">
        <v>42253</v>
      </c>
      <c r="B252" t="str">
        <f t="shared" si="19"/>
        <v>2015/36</v>
      </c>
      <c r="C252" t="str">
        <f t="shared" si="15"/>
        <v>2015/09</v>
      </c>
      <c r="D252">
        <f t="shared" si="16"/>
        <v>2015</v>
      </c>
      <c r="E252" t="str">
        <f t="shared" si="17"/>
        <v>Chủ nhật</v>
      </c>
      <c r="F252" s="2" t="str">
        <f t="shared" si="18"/>
        <v>INSERT INTO Master_Calendar (Date, Week, Month, Year, Holiday, XmlMeta) VALUES(N'2015-09-06', N'2015/36', N'2015/09', N'2015', N'Chủ nhật', N'&lt;Root&gt;&lt;/Root&gt;')</v>
      </c>
    </row>
    <row r="253" spans="1:6" x14ac:dyDescent="0.25">
      <c r="A253" s="7">
        <v>42254</v>
      </c>
      <c r="B253" t="str">
        <f t="shared" si="19"/>
        <v>2015/37</v>
      </c>
      <c r="C253" t="str">
        <f t="shared" si="15"/>
        <v>2015/09</v>
      </c>
      <c r="D253">
        <f t="shared" si="16"/>
        <v>2015</v>
      </c>
      <c r="E253" t="str">
        <f t="shared" si="17"/>
        <v/>
      </c>
      <c r="F253" s="2" t="str">
        <f t="shared" si="18"/>
        <v>INSERT INTO Master_Calendar (Date, Week, Month, Year, Holiday, XmlMeta) VALUES(N'2015-09-07', N'2015/37', N'2015/09', N'2015', N'', N'&lt;Root&gt;&lt;/Root&gt;')</v>
      </c>
    </row>
    <row r="254" spans="1:6" x14ac:dyDescent="0.25">
      <c r="A254" s="7">
        <v>42255</v>
      </c>
      <c r="B254" t="str">
        <f t="shared" si="19"/>
        <v>2015/37</v>
      </c>
      <c r="C254" t="str">
        <f t="shared" si="15"/>
        <v>2015/09</v>
      </c>
      <c r="D254">
        <f t="shared" si="16"/>
        <v>2015</v>
      </c>
      <c r="E254" t="str">
        <f t="shared" si="17"/>
        <v/>
      </c>
      <c r="F254" s="2" t="str">
        <f t="shared" si="18"/>
        <v>INSERT INTO Master_Calendar (Date, Week, Month, Year, Holiday, XmlMeta) VALUES(N'2015-09-08', N'2015/37', N'2015/09', N'2015', N'', N'&lt;Root&gt;&lt;/Root&gt;')</v>
      </c>
    </row>
    <row r="255" spans="1:6" x14ac:dyDescent="0.25">
      <c r="A255" s="7">
        <v>42256</v>
      </c>
      <c r="B255" t="str">
        <f t="shared" si="19"/>
        <v>2015/37</v>
      </c>
      <c r="C255" t="str">
        <f t="shared" si="15"/>
        <v>2015/09</v>
      </c>
      <c r="D255">
        <f t="shared" si="16"/>
        <v>2015</v>
      </c>
      <c r="E255" t="str">
        <f t="shared" si="17"/>
        <v/>
      </c>
      <c r="F255" s="2" t="str">
        <f t="shared" si="18"/>
        <v>INSERT INTO Master_Calendar (Date, Week, Month, Year, Holiday, XmlMeta) VALUES(N'2015-09-09', N'2015/37', N'2015/09', N'2015', N'', N'&lt;Root&gt;&lt;/Root&gt;')</v>
      </c>
    </row>
    <row r="256" spans="1:6" x14ac:dyDescent="0.25">
      <c r="A256" s="7">
        <v>42257</v>
      </c>
      <c r="B256" t="str">
        <f t="shared" si="19"/>
        <v>2015/37</v>
      </c>
      <c r="C256" t="str">
        <f t="shared" si="15"/>
        <v>2015/09</v>
      </c>
      <c r="D256">
        <f t="shared" si="16"/>
        <v>2015</v>
      </c>
      <c r="E256" t="str">
        <f t="shared" si="17"/>
        <v/>
      </c>
      <c r="F256" s="2" t="str">
        <f t="shared" si="18"/>
        <v>INSERT INTO Master_Calendar (Date, Week, Month, Year, Holiday, XmlMeta) VALUES(N'2015-09-10', N'2015/37', N'2015/09', N'2015', N'', N'&lt;Root&gt;&lt;/Root&gt;')</v>
      </c>
    </row>
    <row r="257" spans="1:6" x14ac:dyDescent="0.25">
      <c r="A257" s="7">
        <v>42258</v>
      </c>
      <c r="B257" t="str">
        <f t="shared" si="19"/>
        <v>2015/37</v>
      </c>
      <c r="C257" t="str">
        <f t="shared" si="15"/>
        <v>2015/09</v>
      </c>
      <c r="D257">
        <f t="shared" si="16"/>
        <v>2015</v>
      </c>
      <c r="E257" t="str">
        <f t="shared" si="17"/>
        <v/>
      </c>
      <c r="F257" s="2" t="str">
        <f t="shared" si="18"/>
        <v>INSERT INTO Master_Calendar (Date, Week, Month, Year, Holiday, XmlMeta) VALUES(N'2015-09-11', N'2015/37', N'2015/09', N'2015', N'', N'&lt;Root&gt;&lt;/Root&gt;')</v>
      </c>
    </row>
    <row r="258" spans="1:6" x14ac:dyDescent="0.25">
      <c r="A258" s="7">
        <v>42259</v>
      </c>
      <c r="B258" t="str">
        <f t="shared" si="19"/>
        <v>2015/37</v>
      </c>
      <c r="C258" t="str">
        <f t="shared" si="15"/>
        <v>2015/09</v>
      </c>
      <c r="D258">
        <f t="shared" si="16"/>
        <v>2015</v>
      </c>
      <c r="E258" t="str">
        <f t="shared" si="17"/>
        <v>Thứ 7</v>
      </c>
      <c r="F258" s="2" t="str">
        <f t="shared" si="18"/>
        <v>INSERT INTO Master_Calendar (Date, Week, Month, Year, Holiday, XmlMeta) VALUES(N'2015-09-12', N'2015/37', N'2015/09', N'2015', N'Thứ 7', N'&lt;Root&gt;&lt;/Root&gt;')</v>
      </c>
    </row>
    <row r="259" spans="1:6" x14ac:dyDescent="0.25">
      <c r="A259" s="7">
        <v>42260</v>
      </c>
      <c r="B259" t="str">
        <f t="shared" si="19"/>
        <v>2015/37</v>
      </c>
      <c r="C259" t="str">
        <f t="shared" si="15"/>
        <v>2015/09</v>
      </c>
      <c r="D259">
        <f t="shared" si="16"/>
        <v>2015</v>
      </c>
      <c r="E259" t="str">
        <f t="shared" si="17"/>
        <v>Chủ nhật</v>
      </c>
      <c r="F259" s="2" t="str">
        <f t="shared" si="18"/>
        <v>INSERT INTO Master_Calendar (Date, Week, Month, Year, Holiday, XmlMeta) VALUES(N'2015-09-13', N'2015/37', N'2015/09', N'2015', N'Chủ nhật', N'&lt;Root&gt;&lt;/Root&gt;')</v>
      </c>
    </row>
    <row r="260" spans="1:6" x14ac:dyDescent="0.25">
      <c r="A260" s="7">
        <v>42261</v>
      </c>
      <c r="B260" t="str">
        <f t="shared" si="19"/>
        <v>2015/38</v>
      </c>
      <c r="C260" t="str">
        <f t="shared" si="15"/>
        <v>2015/09</v>
      </c>
      <c r="D260">
        <f t="shared" si="16"/>
        <v>2015</v>
      </c>
      <c r="E260" t="str">
        <f t="shared" si="17"/>
        <v/>
      </c>
      <c r="F260" s="2" t="str">
        <f t="shared" si="18"/>
        <v>INSERT INTO Master_Calendar (Date, Week, Month, Year, Holiday, XmlMeta) VALUES(N'2015-09-14', N'2015/38', N'2015/09', N'2015', N'', N'&lt;Root&gt;&lt;/Root&gt;')</v>
      </c>
    </row>
    <row r="261" spans="1:6" x14ac:dyDescent="0.25">
      <c r="A261" s="7">
        <v>42262</v>
      </c>
      <c r="B261" t="str">
        <f t="shared" si="19"/>
        <v>2015/38</v>
      </c>
      <c r="C261" t="str">
        <f t="shared" ref="C261:C324" si="20">YEAR(A261)&amp;"/"&amp;RIGHT("00"&amp;MONTH(A261),2)</f>
        <v>2015/09</v>
      </c>
      <c r="D261">
        <f t="shared" ref="D261:D324" si="21">YEAR(A261)</f>
        <v>2015</v>
      </c>
      <c r="E261" t="str">
        <f t="shared" ref="E261:E324" si="22">IF(WEEKDAY(A261)=1, "Chủ nhật", IF(WEEKDAY(A261)=7, "Thứ 7", ""))</f>
        <v/>
      </c>
      <c r="F261" s="2" t="str">
        <f t="shared" ref="F261:F324" si="23">"INSERT INTO "&amp;$B$1&amp;" ("&amp;$A$3&amp;", "&amp;$B$3&amp;", "&amp;$C$3&amp;", "&amp;$D$3&amp;", "&amp;$E$3&amp;", XmlMeta) VALUES(N'"&amp;TEXT(A261, "yyyy-MM-dd")&amp;"', N'"&amp;B261&amp;"', N'"&amp;C261&amp;"', N'"&amp;D261&amp;"', N'"&amp;E261&amp;"', N'&lt;Root&gt;&lt;/Root&gt;')"</f>
        <v>INSERT INTO Master_Calendar (Date, Week, Month, Year, Holiday, XmlMeta) VALUES(N'2015-09-15', N'2015/38', N'2015/09', N'2015', N'', N'&lt;Root&gt;&lt;/Root&gt;')</v>
      </c>
    </row>
    <row r="262" spans="1:6" x14ac:dyDescent="0.25">
      <c r="A262" s="7">
        <v>42263</v>
      </c>
      <c r="B262" t="str">
        <f t="shared" ref="B262:B325" si="24">YEAR(A262) &amp; "/" &amp; RIGHT("00" &amp; IF(WEEKNUM(A262, 2) &gt; 52, 52, WEEKNUM(A262, 2)), 2)</f>
        <v>2015/38</v>
      </c>
      <c r="C262" t="str">
        <f t="shared" si="20"/>
        <v>2015/09</v>
      </c>
      <c r="D262">
        <f t="shared" si="21"/>
        <v>2015</v>
      </c>
      <c r="E262" t="str">
        <f t="shared" si="22"/>
        <v/>
      </c>
      <c r="F262" s="2" t="str">
        <f t="shared" si="23"/>
        <v>INSERT INTO Master_Calendar (Date, Week, Month, Year, Holiday, XmlMeta) VALUES(N'2015-09-16', N'2015/38', N'2015/09', N'2015', N'', N'&lt;Root&gt;&lt;/Root&gt;')</v>
      </c>
    </row>
    <row r="263" spans="1:6" x14ac:dyDescent="0.25">
      <c r="A263" s="7">
        <v>42264</v>
      </c>
      <c r="B263" t="str">
        <f t="shared" si="24"/>
        <v>2015/38</v>
      </c>
      <c r="C263" t="str">
        <f t="shared" si="20"/>
        <v>2015/09</v>
      </c>
      <c r="D263">
        <f t="shared" si="21"/>
        <v>2015</v>
      </c>
      <c r="E263" t="str">
        <f t="shared" si="22"/>
        <v/>
      </c>
      <c r="F263" s="2" t="str">
        <f t="shared" si="23"/>
        <v>INSERT INTO Master_Calendar (Date, Week, Month, Year, Holiday, XmlMeta) VALUES(N'2015-09-17', N'2015/38', N'2015/09', N'2015', N'', N'&lt;Root&gt;&lt;/Root&gt;')</v>
      </c>
    </row>
    <row r="264" spans="1:6" x14ac:dyDescent="0.25">
      <c r="A264" s="7">
        <v>42265</v>
      </c>
      <c r="B264" t="str">
        <f t="shared" si="24"/>
        <v>2015/38</v>
      </c>
      <c r="C264" t="str">
        <f t="shared" si="20"/>
        <v>2015/09</v>
      </c>
      <c r="D264">
        <f t="shared" si="21"/>
        <v>2015</v>
      </c>
      <c r="E264" t="str">
        <f t="shared" si="22"/>
        <v/>
      </c>
      <c r="F264" s="2" t="str">
        <f t="shared" si="23"/>
        <v>INSERT INTO Master_Calendar (Date, Week, Month, Year, Holiday, XmlMeta) VALUES(N'2015-09-18', N'2015/38', N'2015/09', N'2015', N'', N'&lt;Root&gt;&lt;/Root&gt;')</v>
      </c>
    </row>
    <row r="265" spans="1:6" x14ac:dyDescent="0.25">
      <c r="A265" s="7">
        <v>42266</v>
      </c>
      <c r="B265" t="str">
        <f t="shared" si="24"/>
        <v>2015/38</v>
      </c>
      <c r="C265" t="str">
        <f t="shared" si="20"/>
        <v>2015/09</v>
      </c>
      <c r="D265">
        <f t="shared" si="21"/>
        <v>2015</v>
      </c>
      <c r="E265" t="str">
        <f t="shared" si="22"/>
        <v>Thứ 7</v>
      </c>
      <c r="F265" s="2" t="str">
        <f t="shared" si="23"/>
        <v>INSERT INTO Master_Calendar (Date, Week, Month, Year, Holiday, XmlMeta) VALUES(N'2015-09-19', N'2015/38', N'2015/09', N'2015', N'Thứ 7', N'&lt;Root&gt;&lt;/Root&gt;')</v>
      </c>
    </row>
    <row r="266" spans="1:6" x14ac:dyDescent="0.25">
      <c r="A266" s="7">
        <v>42267</v>
      </c>
      <c r="B266" t="str">
        <f t="shared" si="24"/>
        <v>2015/38</v>
      </c>
      <c r="C266" t="str">
        <f t="shared" si="20"/>
        <v>2015/09</v>
      </c>
      <c r="D266">
        <f t="shared" si="21"/>
        <v>2015</v>
      </c>
      <c r="E266" t="str">
        <f t="shared" si="22"/>
        <v>Chủ nhật</v>
      </c>
      <c r="F266" s="2" t="str">
        <f t="shared" si="23"/>
        <v>INSERT INTO Master_Calendar (Date, Week, Month, Year, Holiday, XmlMeta) VALUES(N'2015-09-20', N'2015/38', N'2015/09', N'2015', N'Chủ nhật', N'&lt;Root&gt;&lt;/Root&gt;')</v>
      </c>
    </row>
    <row r="267" spans="1:6" x14ac:dyDescent="0.25">
      <c r="A267" s="7">
        <v>42268</v>
      </c>
      <c r="B267" t="str">
        <f t="shared" si="24"/>
        <v>2015/39</v>
      </c>
      <c r="C267" t="str">
        <f t="shared" si="20"/>
        <v>2015/09</v>
      </c>
      <c r="D267">
        <f t="shared" si="21"/>
        <v>2015</v>
      </c>
      <c r="E267" t="str">
        <f t="shared" si="22"/>
        <v/>
      </c>
      <c r="F267" s="2" t="str">
        <f t="shared" si="23"/>
        <v>INSERT INTO Master_Calendar (Date, Week, Month, Year, Holiday, XmlMeta) VALUES(N'2015-09-21', N'2015/39', N'2015/09', N'2015', N'', N'&lt;Root&gt;&lt;/Root&gt;')</v>
      </c>
    </row>
    <row r="268" spans="1:6" x14ac:dyDescent="0.25">
      <c r="A268" s="7">
        <v>42269</v>
      </c>
      <c r="B268" t="str">
        <f t="shared" si="24"/>
        <v>2015/39</v>
      </c>
      <c r="C268" t="str">
        <f t="shared" si="20"/>
        <v>2015/09</v>
      </c>
      <c r="D268">
        <f t="shared" si="21"/>
        <v>2015</v>
      </c>
      <c r="E268" t="str">
        <f t="shared" si="22"/>
        <v/>
      </c>
      <c r="F268" s="2" t="str">
        <f t="shared" si="23"/>
        <v>INSERT INTO Master_Calendar (Date, Week, Month, Year, Holiday, XmlMeta) VALUES(N'2015-09-22', N'2015/39', N'2015/09', N'2015', N'', N'&lt;Root&gt;&lt;/Root&gt;')</v>
      </c>
    </row>
    <row r="269" spans="1:6" x14ac:dyDescent="0.25">
      <c r="A269" s="7">
        <v>42270</v>
      </c>
      <c r="B269" t="str">
        <f t="shared" si="24"/>
        <v>2015/39</v>
      </c>
      <c r="C269" t="str">
        <f t="shared" si="20"/>
        <v>2015/09</v>
      </c>
      <c r="D269">
        <f t="shared" si="21"/>
        <v>2015</v>
      </c>
      <c r="E269" t="str">
        <f t="shared" si="22"/>
        <v/>
      </c>
      <c r="F269" s="2" t="str">
        <f t="shared" si="23"/>
        <v>INSERT INTO Master_Calendar (Date, Week, Month, Year, Holiday, XmlMeta) VALUES(N'2015-09-23', N'2015/39', N'2015/09', N'2015', N'', N'&lt;Root&gt;&lt;/Root&gt;')</v>
      </c>
    </row>
    <row r="270" spans="1:6" x14ac:dyDescent="0.25">
      <c r="A270" s="7">
        <v>42271</v>
      </c>
      <c r="B270" t="str">
        <f t="shared" si="24"/>
        <v>2015/39</v>
      </c>
      <c r="C270" t="str">
        <f t="shared" si="20"/>
        <v>2015/09</v>
      </c>
      <c r="D270">
        <f t="shared" si="21"/>
        <v>2015</v>
      </c>
      <c r="E270" t="str">
        <f t="shared" si="22"/>
        <v/>
      </c>
      <c r="F270" s="2" t="str">
        <f t="shared" si="23"/>
        <v>INSERT INTO Master_Calendar (Date, Week, Month, Year, Holiday, XmlMeta) VALUES(N'2015-09-24', N'2015/39', N'2015/09', N'2015', N'', N'&lt;Root&gt;&lt;/Root&gt;')</v>
      </c>
    </row>
    <row r="271" spans="1:6" x14ac:dyDescent="0.25">
      <c r="A271" s="7">
        <v>42272</v>
      </c>
      <c r="B271" t="str">
        <f t="shared" si="24"/>
        <v>2015/39</v>
      </c>
      <c r="C271" t="str">
        <f t="shared" si="20"/>
        <v>2015/09</v>
      </c>
      <c r="D271">
        <f t="shared" si="21"/>
        <v>2015</v>
      </c>
      <c r="E271" t="str">
        <f t="shared" si="22"/>
        <v/>
      </c>
      <c r="F271" s="2" t="str">
        <f t="shared" si="23"/>
        <v>INSERT INTO Master_Calendar (Date, Week, Month, Year, Holiday, XmlMeta) VALUES(N'2015-09-25', N'2015/39', N'2015/09', N'2015', N'', N'&lt;Root&gt;&lt;/Root&gt;')</v>
      </c>
    </row>
    <row r="272" spans="1:6" x14ac:dyDescent="0.25">
      <c r="A272" s="7">
        <v>42273</v>
      </c>
      <c r="B272" t="str">
        <f t="shared" si="24"/>
        <v>2015/39</v>
      </c>
      <c r="C272" t="str">
        <f t="shared" si="20"/>
        <v>2015/09</v>
      </c>
      <c r="D272">
        <f t="shared" si="21"/>
        <v>2015</v>
      </c>
      <c r="E272" t="str">
        <f t="shared" si="22"/>
        <v>Thứ 7</v>
      </c>
      <c r="F272" s="2" t="str">
        <f t="shared" si="23"/>
        <v>INSERT INTO Master_Calendar (Date, Week, Month, Year, Holiday, XmlMeta) VALUES(N'2015-09-26', N'2015/39', N'2015/09', N'2015', N'Thứ 7', N'&lt;Root&gt;&lt;/Root&gt;')</v>
      </c>
    </row>
    <row r="273" spans="1:6" x14ac:dyDescent="0.25">
      <c r="A273" s="7">
        <v>42274</v>
      </c>
      <c r="B273" t="str">
        <f t="shared" si="24"/>
        <v>2015/39</v>
      </c>
      <c r="C273" t="str">
        <f t="shared" si="20"/>
        <v>2015/09</v>
      </c>
      <c r="D273">
        <f t="shared" si="21"/>
        <v>2015</v>
      </c>
      <c r="E273" t="str">
        <f t="shared" si="22"/>
        <v>Chủ nhật</v>
      </c>
      <c r="F273" s="2" t="str">
        <f t="shared" si="23"/>
        <v>INSERT INTO Master_Calendar (Date, Week, Month, Year, Holiday, XmlMeta) VALUES(N'2015-09-27', N'2015/39', N'2015/09', N'2015', N'Chủ nhật', N'&lt;Root&gt;&lt;/Root&gt;')</v>
      </c>
    </row>
    <row r="274" spans="1:6" x14ac:dyDescent="0.25">
      <c r="A274" s="7">
        <v>42275</v>
      </c>
      <c r="B274" t="str">
        <f t="shared" si="24"/>
        <v>2015/40</v>
      </c>
      <c r="C274" t="str">
        <f t="shared" si="20"/>
        <v>2015/09</v>
      </c>
      <c r="D274">
        <f t="shared" si="21"/>
        <v>2015</v>
      </c>
      <c r="E274" t="str">
        <f t="shared" si="22"/>
        <v/>
      </c>
      <c r="F274" s="2" t="str">
        <f t="shared" si="23"/>
        <v>INSERT INTO Master_Calendar (Date, Week, Month, Year, Holiday, XmlMeta) VALUES(N'2015-09-28', N'2015/40', N'2015/09', N'2015', N'', N'&lt;Root&gt;&lt;/Root&gt;')</v>
      </c>
    </row>
    <row r="275" spans="1:6" x14ac:dyDescent="0.25">
      <c r="A275" s="7">
        <v>42276</v>
      </c>
      <c r="B275" t="str">
        <f t="shared" si="24"/>
        <v>2015/40</v>
      </c>
      <c r="C275" t="str">
        <f t="shared" si="20"/>
        <v>2015/09</v>
      </c>
      <c r="D275">
        <f t="shared" si="21"/>
        <v>2015</v>
      </c>
      <c r="E275" t="str">
        <f t="shared" si="22"/>
        <v/>
      </c>
      <c r="F275" s="2" t="str">
        <f t="shared" si="23"/>
        <v>INSERT INTO Master_Calendar (Date, Week, Month, Year, Holiday, XmlMeta) VALUES(N'2015-09-29', N'2015/40', N'2015/09', N'2015', N'', N'&lt;Root&gt;&lt;/Root&gt;')</v>
      </c>
    </row>
    <row r="276" spans="1:6" x14ac:dyDescent="0.25">
      <c r="A276" s="7">
        <v>42277</v>
      </c>
      <c r="B276" t="str">
        <f t="shared" si="24"/>
        <v>2015/40</v>
      </c>
      <c r="C276" t="str">
        <f t="shared" si="20"/>
        <v>2015/09</v>
      </c>
      <c r="D276">
        <f t="shared" si="21"/>
        <v>2015</v>
      </c>
      <c r="E276" t="str">
        <f t="shared" si="22"/>
        <v/>
      </c>
      <c r="F276" s="2" t="str">
        <f t="shared" si="23"/>
        <v>INSERT INTO Master_Calendar (Date, Week, Month, Year, Holiday, XmlMeta) VALUES(N'2015-09-30', N'2015/40', N'2015/09', N'2015', N'', N'&lt;Root&gt;&lt;/Root&gt;')</v>
      </c>
    </row>
    <row r="277" spans="1:6" x14ac:dyDescent="0.25">
      <c r="A277" s="7">
        <v>42278</v>
      </c>
      <c r="B277" t="str">
        <f t="shared" si="24"/>
        <v>2015/40</v>
      </c>
      <c r="C277" t="str">
        <f t="shared" si="20"/>
        <v>2015/10</v>
      </c>
      <c r="D277">
        <f t="shared" si="21"/>
        <v>2015</v>
      </c>
      <c r="E277" t="str">
        <f t="shared" si="22"/>
        <v/>
      </c>
      <c r="F277" s="2" t="str">
        <f t="shared" si="23"/>
        <v>INSERT INTO Master_Calendar (Date, Week, Month, Year, Holiday, XmlMeta) VALUES(N'2015-10-01', N'2015/40', N'2015/10', N'2015', N'', N'&lt;Root&gt;&lt;/Root&gt;')</v>
      </c>
    </row>
    <row r="278" spans="1:6" x14ac:dyDescent="0.25">
      <c r="A278" s="7">
        <v>42279</v>
      </c>
      <c r="B278" t="str">
        <f t="shared" si="24"/>
        <v>2015/40</v>
      </c>
      <c r="C278" t="str">
        <f t="shared" si="20"/>
        <v>2015/10</v>
      </c>
      <c r="D278">
        <f t="shared" si="21"/>
        <v>2015</v>
      </c>
      <c r="E278" t="str">
        <f t="shared" si="22"/>
        <v/>
      </c>
      <c r="F278" s="2" t="str">
        <f t="shared" si="23"/>
        <v>INSERT INTO Master_Calendar (Date, Week, Month, Year, Holiday, XmlMeta) VALUES(N'2015-10-02', N'2015/40', N'2015/10', N'2015', N'', N'&lt;Root&gt;&lt;/Root&gt;')</v>
      </c>
    </row>
    <row r="279" spans="1:6" x14ac:dyDescent="0.25">
      <c r="A279" s="7">
        <v>42280</v>
      </c>
      <c r="B279" t="str">
        <f t="shared" si="24"/>
        <v>2015/40</v>
      </c>
      <c r="C279" t="str">
        <f t="shared" si="20"/>
        <v>2015/10</v>
      </c>
      <c r="D279">
        <f t="shared" si="21"/>
        <v>2015</v>
      </c>
      <c r="E279" t="str">
        <f t="shared" si="22"/>
        <v>Thứ 7</v>
      </c>
      <c r="F279" s="2" t="str">
        <f t="shared" si="23"/>
        <v>INSERT INTO Master_Calendar (Date, Week, Month, Year, Holiday, XmlMeta) VALUES(N'2015-10-03', N'2015/40', N'2015/10', N'2015', N'Thứ 7', N'&lt;Root&gt;&lt;/Root&gt;')</v>
      </c>
    </row>
    <row r="280" spans="1:6" x14ac:dyDescent="0.25">
      <c r="A280" s="7">
        <v>42281</v>
      </c>
      <c r="B280" t="str">
        <f t="shared" si="24"/>
        <v>2015/40</v>
      </c>
      <c r="C280" t="str">
        <f t="shared" si="20"/>
        <v>2015/10</v>
      </c>
      <c r="D280">
        <f t="shared" si="21"/>
        <v>2015</v>
      </c>
      <c r="E280" t="str">
        <f t="shared" si="22"/>
        <v>Chủ nhật</v>
      </c>
      <c r="F280" s="2" t="str">
        <f t="shared" si="23"/>
        <v>INSERT INTO Master_Calendar (Date, Week, Month, Year, Holiday, XmlMeta) VALUES(N'2015-10-04', N'2015/40', N'2015/10', N'2015', N'Chủ nhật', N'&lt;Root&gt;&lt;/Root&gt;')</v>
      </c>
    </row>
    <row r="281" spans="1:6" x14ac:dyDescent="0.25">
      <c r="A281" s="7">
        <v>42282</v>
      </c>
      <c r="B281" t="str">
        <f t="shared" si="24"/>
        <v>2015/41</v>
      </c>
      <c r="C281" t="str">
        <f t="shared" si="20"/>
        <v>2015/10</v>
      </c>
      <c r="D281">
        <f t="shared" si="21"/>
        <v>2015</v>
      </c>
      <c r="E281" t="str">
        <f t="shared" si="22"/>
        <v/>
      </c>
      <c r="F281" s="2" t="str">
        <f t="shared" si="23"/>
        <v>INSERT INTO Master_Calendar (Date, Week, Month, Year, Holiday, XmlMeta) VALUES(N'2015-10-05', N'2015/41', N'2015/10', N'2015', N'', N'&lt;Root&gt;&lt;/Root&gt;')</v>
      </c>
    </row>
    <row r="282" spans="1:6" x14ac:dyDescent="0.25">
      <c r="A282" s="7">
        <v>42283</v>
      </c>
      <c r="B282" t="str">
        <f t="shared" si="24"/>
        <v>2015/41</v>
      </c>
      <c r="C282" t="str">
        <f t="shared" si="20"/>
        <v>2015/10</v>
      </c>
      <c r="D282">
        <f t="shared" si="21"/>
        <v>2015</v>
      </c>
      <c r="E282" t="str">
        <f t="shared" si="22"/>
        <v/>
      </c>
      <c r="F282" s="2" t="str">
        <f t="shared" si="23"/>
        <v>INSERT INTO Master_Calendar (Date, Week, Month, Year, Holiday, XmlMeta) VALUES(N'2015-10-06', N'2015/41', N'2015/10', N'2015', N'', N'&lt;Root&gt;&lt;/Root&gt;')</v>
      </c>
    </row>
    <row r="283" spans="1:6" x14ac:dyDescent="0.25">
      <c r="A283" s="7">
        <v>42284</v>
      </c>
      <c r="B283" t="str">
        <f t="shared" si="24"/>
        <v>2015/41</v>
      </c>
      <c r="C283" t="str">
        <f t="shared" si="20"/>
        <v>2015/10</v>
      </c>
      <c r="D283">
        <f t="shared" si="21"/>
        <v>2015</v>
      </c>
      <c r="E283" t="str">
        <f t="shared" si="22"/>
        <v/>
      </c>
      <c r="F283" s="2" t="str">
        <f t="shared" si="23"/>
        <v>INSERT INTO Master_Calendar (Date, Week, Month, Year, Holiday, XmlMeta) VALUES(N'2015-10-07', N'2015/41', N'2015/10', N'2015', N'', N'&lt;Root&gt;&lt;/Root&gt;')</v>
      </c>
    </row>
    <row r="284" spans="1:6" x14ac:dyDescent="0.25">
      <c r="A284" s="7">
        <v>42285</v>
      </c>
      <c r="B284" t="str">
        <f t="shared" si="24"/>
        <v>2015/41</v>
      </c>
      <c r="C284" t="str">
        <f t="shared" si="20"/>
        <v>2015/10</v>
      </c>
      <c r="D284">
        <f t="shared" si="21"/>
        <v>2015</v>
      </c>
      <c r="E284" t="str">
        <f t="shared" si="22"/>
        <v/>
      </c>
      <c r="F284" s="2" t="str">
        <f t="shared" si="23"/>
        <v>INSERT INTO Master_Calendar (Date, Week, Month, Year, Holiday, XmlMeta) VALUES(N'2015-10-08', N'2015/41', N'2015/10', N'2015', N'', N'&lt;Root&gt;&lt;/Root&gt;')</v>
      </c>
    </row>
    <row r="285" spans="1:6" x14ac:dyDescent="0.25">
      <c r="A285" s="7">
        <v>42286</v>
      </c>
      <c r="B285" t="str">
        <f t="shared" si="24"/>
        <v>2015/41</v>
      </c>
      <c r="C285" t="str">
        <f t="shared" si="20"/>
        <v>2015/10</v>
      </c>
      <c r="D285">
        <f t="shared" si="21"/>
        <v>2015</v>
      </c>
      <c r="E285" t="str">
        <f t="shared" si="22"/>
        <v/>
      </c>
      <c r="F285" s="2" t="str">
        <f t="shared" si="23"/>
        <v>INSERT INTO Master_Calendar (Date, Week, Month, Year, Holiday, XmlMeta) VALUES(N'2015-10-09', N'2015/41', N'2015/10', N'2015', N'', N'&lt;Root&gt;&lt;/Root&gt;')</v>
      </c>
    </row>
    <row r="286" spans="1:6" x14ac:dyDescent="0.25">
      <c r="A286" s="7">
        <v>42287</v>
      </c>
      <c r="B286" t="str">
        <f t="shared" si="24"/>
        <v>2015/41</v>
      </c>
      <c r="C286" t="str">
        <f t="shared" si="20"/>
        <v>2015/10</v>
      </c>
      <c r="D286">
        <f t="shared" si="21"/>
        <v>2015</v>
      </c>
      <c r="E286" t="str">
        <f t="shared" si="22"/>
        <v>Thứ 7</v>
      </c>
      <c r="F286" s="2" t="str">
        <f t="shared" si="23"/>
        <v>INSERT INTO Master_Calendar (Date, Week, Month, Year, Holiday, XmlMeta) VALUES(N'2015-10-10', N'2015/41', N'2015/10', N'2015', N'Thứ 7', N'&lt;Root&gt;&lt;/Root&gt;')</v>
      </c>
    </row>
    <row r="287" spans="1:6" x14ac:dyDescent="0.25">
      <c r="A287" s="7">
        <v>42288</v>
      </c>
      <c r="B287" t="str">
        <f t="shared" si="24"/>
        <v>2015/41</v>
      </c>
      <c r="C287" t="str">
        <f t="shared" si="20"/>
        <v>2015/10</v>
      </c>
      <c r="D287">
        <f t="shared" si="21"/>
        <v>2015</v>
      </c>
      <c r="E287" t="str">
        <f t="shared" si="22"/>
        <v>Chủ nhật</v>
      </c>
      <c r="F287" s="2" t="str">
        <f t="shared" si="23"/>
        <v>INSERT INTO Master_Calendar (Date, Week, Month, Year, Holiday, XmlMeta) VALUES(N'2015-10-11', N'2015/41', N'2015/10', N'2015', N'Chủ nhật', N'&lt;Root&gt;&lt;/Root&gt;')</v>
      </c>
    </row>
    <row r="288" spans="1:6" x14ac:dyDescent="0.25">
      <c r="A288" s="7">
        <v>42289</v>
      </c>
      <c r="B288" t="str">
        <f t="shared" si="24"/>
        <v>2015/42</v>
      </c>
      <c r="C288" t="str">
        <f t="shared" si="20"/>
        <v>2015/10</v>
      </c>
      <c r="D288">
        <f t="shared" si="21"/>
        <v>2015</v>
      </c>
      <c r="E288" t="str">
        <f t="shared" si="22"/>
        <v/>
      </c>
      <c r="F288" s="2" t="str">
        <f t="shared" si="23"/>
        <v>INSERT INTO Master_Calendar (Date, Week, Month, Year, Holiday, XmlMeta) VALUES(N'2015-10-12', N'2015/42', N'2015/10', N'2015', N'', N'&lt;Root&gt;&lt;/Root&gt;')</v>
      </c>
    </row>
    <row r="289" spans="1:6" x14ac:dyDescent="0.25">
      <c r="A289" s="7">
        <v>42290</v>
      </c>
      <c r="B289" t="str">
        <f t="shared" si="24"/>
        <v>2015/42</v>
      </c>
      <c r="C289" t="str">
        <f t="shared" si="20"/>
        <v>2015/10</v>
      </c>
      <c r="D289">
        <f t="shared" si="21"/>
        <v>2015</v>
      </c>
      <c r="E289" t="str">
        <f t="shared" si="22"/>
        <v/>
      </c>
      <c r="F289" s="2" t="str">
        <f t="shared" si="23"/>
        <v>INSERT INTO Master_Calendar (Date, Week, Month, Year, Holiday, XmlMeta) VALUES(N'2015-10-13', N'2015/42', N'2015/10', N'2015', N'', N'&lt;Root&gt;&lt;/Root&gt;')</v>
      </c>
    </row>
    <row r="290" spans="1:6" x14ac:dyDescent="0.25">
      <c r="A290" s="7">
        <v>42291</v>
      </c>
      <c r="B290" t="str">
        <f t="shared" si="24"/>
        <v>2015/42</v>
      </c>
      <c r="C290" t="str">
        <f t="shared" si="20"/>
        <v>2015/10</v>
      </c>
      <c r="D290">
        <f t="shared" si="21"/>
        <v>2015</v>
      </c>
      <c r="E290" t="str">
        <f t="shared" si="22"/>
        <v/>
      </c>
      <c r="F290" s="2" t="str">
        <f t="shared" si="23"/>
        <v>INSERT INTO Master_Calendar (Date, Week, Month, Year, Holiday, XmlMeta) VALUES(N'2015-10-14', N'2015/42', N'2015/10', N'2015', N'', N'&lt;Root&gt;&lt;/Root&gt;')</v>
      </c>
    </row>
    <row r="291" spans="1:6" x14ac:dyDescent="0.25">
      <c r="A291" s="7">
        <v>42292</v>
      </c>
      <c r="B291" t="str">
        <f t="shared" si="24"/>
        <v>2015/42</v>
      </c>
      <c r="C291" t="str">
        <f t="shared" si="20"/>
        <v>2015/10</v>
      </c>
      <c r="D291">
        <f t="shared" si="21"/>
        <v>2015</v>
      </c>
      <c r="E291" t="str">
        <f t="shared" si="22"/>
        <v/>
      </c>
      <c r="F291" s="2" t="str">
        <f t="shared" si="23"/>
        <v>INSERT INTO Master_Calendar (Date, Week, Month, Year, Holiday, XmlMeta) VALUES(N'2015-10-15', N'2015/42', N'2015/10', N'2015', N'', N'&lt;Root&gt;&lt;/Root&gt;')</v>
      </c>
    </row>
    <row r="292" spans="1:6" x14ac:dyDescent="0.25">
      <c r="A292" s="7">
        <v>42293</v>
      </c>
      <c r="B292" t="str">
        <f t="shared" si="24"/>
        <v>2015/42</v>
      </c>
      <c r="C292" t="str">
        <f t="shared" si="20"/>
        <v>2015/10</v>
      </c>
      <c r="D292">
        <f t="shared" si="21"/>
        <v>2015</v>
      </c>
      <c r="E292" t="str">
        <f t="shared" si="22"/>
        <v/>
      </c>
      <c r="F292" s="2" t="str">
        <f t="shared" si="23"/>
        <v>INSERT INTO Master_Calendar (Date, Week, Month, Year, Holiday, XmlMeta) VALUES(N'2015-10-16', N'2015/42', N'2015/10', N'2015', N'', N'&lt;Root&gt;&lt;/Root&gt;')</v>
      </c>
    </row>
    <row r="293" spans="1:6" x14ac:dyDescent="0.25">
      <c r="A293" s="7">
        <v>42294</v>
      </c>
      <c r="B293" t="str">
        <f t="shared" si="24"/>
        <v>2015/42</v>
      </c>
      <c r="C293" t="str">
        <f t="shared" si="20"/>
        <v>2015/10</v>
      </c>
      <c r="D293">
        <f t="shared" si="21"/>
        <v>2015</v>
      </c>
      <c r="E293" t="str">
        <f t="shared" si="22"/>
        <v>Thứ 7</v>
      </c>
      <c r="F293" s="2" t="str">
        <f t="shared" si="23"/>
        <v>INSERT INTO Master_Calendar (Date, Week, Month, Year, Holiday, XmlMeta) VALUES(N'2015-10-17', N'2015/42', N'2015/10', N'2015', N'Thứ 7', N'&lt;Root&gt;&lt;/Root&gt;')</v>
      </c>
    </row>
    <row r="294" spans="1:6" x14ac:dyDescent="0.25">
      <c r="A294" s="7">
        <v>42295</v>
      </c>
      <c r="B294" t="str">
        <f t="shared" si="24"/>
        <v>2015/42</v>
      </c>
      <c r="C294" t="str">
        <f t="shared" si="20"/>
        <v>2015/10</v>
      </c>
      <c r="D294">
        <f t="shared" si="21"/>
        <v>2015</v>
      </c>
      <c r="E294" t="str">
        <f t="shared" si="22"/>
        <v>Chủ nhật</v>
      </c>
      <c r="F294" s="2" t="str">
        <f t="shared" si="23"/>
        <v>INSERT INTO Master_Calendar (Date, Week, Month, Year, Holiday, XmlMeta) VALUES(N'2015-10-18', N'2015/42', N'2015/10', N'2015', N'Chủ nhật', N'&lt;Root&gt;&lt;/Root&gt;')</v>
      </c>
    </row>
    <row r="295" spans="1:6" x14ac:dyDescent="0.25">
      <c r="A295" s="7">
        <v>42296</v>
      </c>
      <c r="B295" t="str">
        <f t="shared" si="24"/>
        <v>2015/43</v>
      </c>
      <c r="C295" t="str">
        <f t="shared" si="20"/>
        <v>2015/10</v>
      </c>
      <c r="D295">
        <f t="shared" si="21"/>
        <v>2015</v>
      </c>
      <c r="E295" t="str">
        <f t="shared" si="22"/>
        <v/>
      </c>
      <c r="F295" s="2" t="str">
        <f t="shared" si="23"/>
        <v>INSERT INTO Master_Calendar (Date, Week, Month, Year, Holiday, XmlMeta) VALUES(N'2015-10-19', N'2015/43', N'2015/10', N'2015', N'', N'&lt;Root&gt;&lt;/Root&gt;')</v>
      </c>
    </row>
    <row r="296" spans="1:6" x14ac:dyDescent="0.25">
      <c r="A296" s="7">
        <v>42297</v>
      </c>
      <c r="B296" t="str">
        <f t="shared" si="24"/>
        <v>2015/43</v>
      </c>
      <c r="C296" t="str">
        <f t="shared" si="20"/>
        <v>2015/10</v>
      </c>
      <c r="D296">
        <f t="shared" si="21"/>
        <v>2015</v>
      </c>
      <c r="E296" t="str">
        <f t="shared" si="22"/>
        <v/>
      </c>
      <c r="F296" s="2" t="str">
        <f t="shared" si="23"/>
        <v>INSERT INTO Master_Calendar (Date, Week, Month, Year, Holiday, XmlMeta) VALUES(N'2015-10-20', N'2015/43', N'2015/10', N'2015', N'', N'&lt;Root&gt;&lt;/Root&gt;')</v>
      </c>
    </row>
    <row r="297" spans="1:6" x14ac:dyDescent="0.25">
      <c r="A297" s="7">
        <v>42298</v>
      </c>
      <c r="B297" t="str">
        <f t="shared" si="24"/>
        <v>2015/43</v>
      </c>
      <c r="C297" t="str">
        <f t="shared" si="20"/>
        <v>2015/10</v>
      </c>
      <c r="D297">
        <f t="shared" si="21"/>
        <v>2015</v>
      </c>
      <c r="E297" t="str">
        <f t="shared" si="22"/>
        <v/>
      </c>
      <c r="F297" s="2" t="str">
        <f t="shared" si="23"/>
        <v>INSERT INTO Master_Calendar (Date, Week, Month, Year, Holiday, XmlMeta) VALUES(N'2015-10-21', N'2015/43', N'2015/10', N'2015', N'', N'&lt;Root&gt;&lt;/Root&gt;')</v>
      </c>
    </row>
    <row r="298" spans="1:6" x14ac:dyDescent="0.25">
      <c r="A298" s="7">
        <v>42299</v>
      </c>
      <c r="B298" t="str">
        <f t="shared" si="24"/>
        <v>2015/43</v>
      </c>
      <c r="C298" t="str">
        <f t="shared" si="20"/>
        <v>2015/10</v>
      </c>
      <c r="D298">
        <f t="shared" si="21"/>
        <v>2015</v>
      </c>
      <c r="E298" t="str">
        <f t="shared" si="22"/>
        <v/>
      </c>
      <c r="F298" s="2" t="str">
        <f t="shared" si="23"/>
        <v>INSERT INTO Master_Calendar (Date, Week, Month, Year, Holiday, XmlMeta) VALUES(N'2015-10-22', N'2015/43', N'2015/10', N'2015', N'', N'&lt;Root&gt;&lt;/Root&gt;')</v>
      </c>
    </row>
    <row r="299" spans="1:6" x14ac:dyDescent="0.25">
      <c r="A299" s="7">
        <v>42300</v>
      </c>
      <c r="B299" t="str">
        <f t="shared" si="24"/>
        <v>2015/43</v>
      </c>
      <c r="C299" t="str">
        <f t="shared" si="20"/>
        <v>2015/10</v>
      </c>
      <c r="D299">
        <f t="shared" si="21"/>
        <v>2015</v>
      </c>
      <c r="E299" t="str">
        <f t="shared" si="22"/>
        <v/>
      </c>
      <c r="F299" s="2" t="str">
        <f t="shared" si="23"/>
        <v>INSERT INTO Master_Calendar (Date, Week, Month, Year, Holiday, XmlMeta) VALUES(N'2015-10-23', N'2015/43', N'2015/10', N'2015', N'', N'&lt;Root&gt;&lt;/Root&gt;')</v>
      </c>
    </row>
    <row r="300" spans="1:6" x14ac:dyDescent="0.25">
      <c r="A300" s="7">
        <v>42301</v>
      </c>
      <c r="B300" t="str">
        <f t="shared" si="24"/>
        <v>2015/43</v>
      </c>
      <c r="C300" t="str">
        <f t="shared" si="20"/>
        <v>2015/10</v>
      </c>
      <c r="D300">
        <f t="shared" si="21"/>
        <v>2015</v>
      </c>
      <c r="E300" t="str">
        <f t="shared" si="22"/>
        <v>Thứ 7</v>
      </c>
      <c r="F300" s="2" t="str">
        <f t="shared" si="23"/>
        <v>INSERT INTO Master_Calendar (Date, Week, Month, Year, Holiday, XmlMeta) VALUES(N'2015-10-24', N'2015/43', N'2015/10', N'2015', N'Thứ 7', N'&lt;Root&gt;&lt;/Root&gt;')</v>
      </c>
    </row>
    <row r="301" spans="1:6" x14ac:dyDescent="0.25">
      <c r="A301" s="7">
        <v>42302</v>
      </c>
      <c r="B301" t="str">
        <f t="shared" si="24"/>
        <v>2015/43</v>
      </c>
      <c r="C301" t="str">
        <f t="shared" si="20"/>
        <v>2015/10</v>
      </c>
      <c r="D301">
        <f t="shared" si="21"/>
        <v>2015</v>
      </c>
      <c r="E301" t="str">
        <f t="shared" si="22"/>
        <v>Chủ nhật</v>
      </c>
      <c r="F301" s="2" t="str">
        <f t="shared" si="23"/>
        <v>INSERT INTO Master_Calendar (Date, Week, Month, Year, Holiday, XmlMeta) VALUES(N'2015-10-25', N'2015/43', N'2015/10', N'2015', N'Chủ nhật', N'&lt;Root&gt;&lt;/Root&gt;')</v>
      </c>
    </row>
    <row r="302" spans="1:6" x14ac:dyDescent="0.25">
      <c r="A302" s="7">
        <v>42303</v>
      </c>
      <c r="B302" t="str">
        <f t="shared" si="24"/>
        <v>2015/44</v>
      </c>
      <c r="C302" t="str">
        <f t="shared" si="20"/>
        <v>2015/10</v>
      </c>
      <c r="D302">
        <f t="shared" si="21"/>
        <v>2015</v>
      </c>
      <c r="E302" t="str">
        <f t="shared" si="22"/>
        <v/>
      </c>
      <c r="F302" s="2" t="str">
        <f t="shared" si="23"/>
        <v>INSERT INTO Master_Calendar (Date, Week, Month, Year, Holiday, XmlMeta) VALUES(N'2015-10-26', N'2015/44', N'2015/10', N'2015', N'', N'&lt;Root&gt;&lt;/Root&gt;')</v>
      </c>
    </row>
    <row r="303" spans="1:6" x14ac:dyDescent="0.25">
      <c r="A303" s="7">
        <v>42304</v>
      </c>
      <c r="B303" t="str">
        <f t="shared" si="24"/>
        <v>2015/44</v>
      </c>
      <c r="C303" t="str">
        <f t="shared" si="20"/>
        <v>2015/10</v>
      </c>
      <c r="D303">
        <f t="shared" si="21"/>
        <v>2015</v>
      </c>
      <c r="E303" t="str">
        <f t="shared" si="22"/>
        <v/>
      </c>
      <c r="F303" s="2" t="str">
        <f t="shared" si="23"/>
        <v>INSERT INTO Master_Calendar (Date, Week, Month, Year, Holiday, XmlMeta) VALUES(N'2015-10-27', N'2015/44', N'2015/10', N'2015', N'', N'&lt;Root&gt;&lt;/Root&gt;')</v>
      </c>
    </row>
    <row r="304" spans="1:6" x14ac:dyDescent="0.25">
      <c r="A304" s="7">
        <v>42305</v>
      </c>
      <c r="B304" t="str">
        <f t="shared" si="24"/>
        <v>2015/44</v>
      </c>
      <c r="C304" t="str">
        <f t="shared" si="20"/>
        <v>2015/10</v>
      </c>
      <c r="D304">
        <f t="shared" si="21"/>
        <v>2015</v>
      </c>
      <c r="E304" t="str">
        <f t="shared" si="22"/>
        <v/>
      </c>
      <c r="F304" s="2" t="str">
        <f t="shared" si="23"/>
        <v>INSERT INTO Master_Calendar (Date, Week, Month, Year, Holiday, XmlMeta) VALUES(N'2015-10-28', N'2015/44', N'2015/10', N'2015', N'', N'&lt;Root&gt;&lt;/Root&gt;')</v>
      </c>
    </row>
    <row r="305" spans="1:6" x14ac:dyDescent="0.25">
      <c r="A305" s="7">
        <v>42306</v>
      </c>
      <c r="B305" t="str">
        <f t="shared" si="24"/>
        <v>2015/44</v>
      </c>
      <c r="C305" t="str">
        <f t="shared" si="20"/>
        <v>2015/10</v>
      </c>
      <c r="D305">
        <f t="shared" si="21"/>
        <v>2015</v>
      </c>
      <c r="E305" t="str">
        <f t="shared" si="22"/>
        <v/>
      </c>
      <c r="F305" s="2" t="str">
        <f t="shared" si="23"/>
        <v>INSERT INTO Master_Calendar (Date, Week, Month, Year, Holiday, XmlMeta) VALUES(N'2015-10-29', N'2015/44', N'2015/10', N'2015', N'', N'&lt;Root&gt;&lt;/Root&gt;')</v>
      </c>
    </row>
    <row r="306" spans="1:6" x14ac:dyDescent="0.25">
      <c r="A306" s="7">
        <v>42307</v>
      </c>
      <c r="B306" t="str">
        <f t="shared" si="24"/>
        <v>2015/44</v>
      </c>
      <c r="C306" t="str">
        <f t="shared" si="20"/>
        <v>2015/10</v>
      </c>
      <c r="D306">
        <f t="shared" si="21"/>
        <v>2015</v>
      </c>
      <c r="E306" t="str">
        <f t="shared" si="22"/>
        <v/>
      </c>
      <c r="F306" s="2" t="str">
        <f t="shared" si="23"/>
        <v>INSERT INTO Master_Calendar (Date, Week, Month, Year, Holiday, XmlMeta) VALUES(N'2015-10-30', N'2015/44', N'2015/10', N'2015', N'', N'&lt;Root&gt;&lt;/Root&gt;')</v>
      </c>
    </row>
    <row r="307" spans="1:6" x14ac:dyDescent="0.25">
      <c r="A307" s="7">
        <v>42308</v>
      </c>
      <c r="B307" t="str">
        <f t="shared" si="24"/>
        <v>2015/44</v>
      </c>
      <c r="C307" t="str">
        <f t="shared" si="20"/>
        <v>2015/10</v>
      </c>
      <c r="D307">
        <f t="shared" si="21"/>
        <v>2015</v>
      </c>
      <c r="E307" t="str">
        <f t="shared" si="22"/>
        <v>Thứ 7</v>
      </c>
      <c r="F307" s="2" t="str">
        <f t="shared" si="23"/>
        <v>INSERT INTO Master_Calendar (Date, Week, Month, Year, Holiday, XmlMeta) VALUES(N'2015-10-31', N'2015/44', N'2015/10', N'2015', N'Thứ 7', N'&lt;Root&gt;&lt;/Root&gt;')</v>
      </c>
    </row>
    <row r="308" spans="1:6" x14ac:dyDescent="0.25">
      <c r="A308" s="7">
        <v>42309</v>
      </c>
      <c r="B308" t="str">
        <f t="shared" si="24"/>
        <v>2015/44</v>
      </c>
      <c r="C308" t="str">
        <f t="shared" si="20"/>
        <v>2015/11</v>
      </c>
      <c r="D308">
        <f t="shared" si="21"/>
        <v>2015</v>
      </c>
      <c r="E308" t="str">
        <f t="shared" si="22"/>
        <v>Chủ nhật</v>
      </c>
      <c r="F308" s="2" t="str">
        <f t="shared" si="23"/>
        <v>INSERT INTO Master_Calendar (Date, Week, Month, Year, Holiday, XmlMeta) VALUES(N'2015-11-01', N'2015/44', N'2015/11', N'2015', N'Chủ nhật', N'&lt;Root&gt;&lt;/Root&gt;')</v>
      </c>
    </row>
    <row r="309" spans="1:6" x14ac:dyDescent="0.25">
      <c r="A309" s="7">
        <v>42310</v>
      </c>
      <c r="B309" t="str">
        <f t="shared" si="24"/>
        <v>2015/45</v>
      </c>
      <c r="C309" t="str">
        <f t="shared" si="20"/>
        <v>2015/11</v>
      </c>
      <c r="D309">
        <f t="shared" si="21"/>
        <v>2015</v>
      </c>
      <c r="E309" t="str">
        <f t="shared" si="22"/>
        <v/>
      </c>
      <c r="F309" s="2" t="str">
        <f t="shared" si="23"/>
        <v>INSERT INTO Master_Calendar (Date, Week, Month, Year, Holiday, XmlMeta) VALUES(N'2015-11-02', N'2015/45', N'2015/11', N'2015', N'', N'&lt;Root&gt;&lt;/Root&gt;')</v>
      </c>
    </row>
    <row r="310" spans="1:6" x14ac:dyDescent="0.25">
      <c r="A310" s="7">
        <v>42311</v>
      </c>
      <c r="B310" t="str">
        <f t="shared" si="24"/>
        <v>2015/45</v>
      </c>
      <c r="C310" t="str">
        <f t="shared" si="20"/>
        <v>2015/11</v>
      </c>
      <c r="D310">
        <f t="shared" si="21"/>
        <v>2015</v>
      </c>
      <c r="E310" t="str">
        <f t="shared" si="22"/>
        <v/>
      </c>
      <c r="F310" s="2" t="str">
        <f t="shared" si="23"/>
        <v>INSERT INTO Master_Calendar (Date, Week, Month, Year, Holiday, XmlMeta) VALUES(N'2015-11-03', N'2015/45', N'2015/11', N'2015', N'', N'&lt;Root&gt;&lt;/Root&gt;')</v>
      </c>
    </row>
    <row r="311" spans="1:6" x14ac:dyDescent="0.25">
      <c r="A311" s="7">
        <v>42312</v>
      </c>
      <c r="B311" t="str">
        <f t="shared" si="24"/>
        <v>2015/45</v>
      </c>
      <c r="C311" t="str">
        <f t="shared" si="20"/>
        <v>2015/11</v>
      </c>
      <c r="D311">
        <f t="shared" si="21"/>
        <v>2015</v>
      </c>
      <c r="E311" t="str">
        <f t="shared" si="22"/>
        <v/>
      </c>
      <c r="F311" s="2" t="str">
        <f t="shared" si="23"/>
        <v>INSERT INTO Master_Calendar (Date, Week, Month, Year, Holiday, XmlMeta) VALUES(N'2015-11-04', N'2015/45', N'2015/11', N'2015', N'', N'&lt;Root&gt;&lt;/Root&gt;')</v>
      </c>
    </row>
    <row r="312" spans="1:6" x14ac:dyDescent="0.25">
      <c r="A312" s="7">
        <v>42313</v>
      </c>
      <c r="B312" t="str">
        <f t="shared" si="24"/>
        <v>2015/45</v>
      </c>
      <c r="C312" t="str">
        <f t="shared" si="20"/>
        <v>2015/11</v>
      </c>
      <c r="D312">
        <f t="shared" si="21"/>
        <v>2015</v>
      </c>
      <c r="E312" t="str">
        <f t="shared" si="22"/>
        <v/>
      </c>
      <c r="F312" s="2" t="str">
        <f t="shared" si="23"/>
        <v>INSERT INTO Master_Calendar (Date, Week, Month, Year, Holiday, XmlMeta) VALUES(N'2015-11-05', N'2015/45', N'2015/11', N'2015', N'', N'&lt;Root&gt;&lt;/Root&gt;')</v>
      </c>
    </row>
    <row r="313" spans="1:6" x14ac:dyDescent="0.25">
      <c r="A313" s="7">
        <v>42314</v>
      </c>
      <c r="B313" t="str">
        <f t="shared" si="24"/>
        <v>2015/45</v>
      </c>
      <c r="C313" t="str">
        <f t="shared" si="20"/>
        <v>2015/11</v>
      </c>
      <c r="D313">
        <f t="shared" si="21"/>
        <v>2015</v>
      </c>
      <c r="E313" t="str">
        <f t="shared" si="22"/>
        <v/>
      </c>
      <c r="F313" s="2" t="str">
        <f t="shared" si="23"/>
        <v>INSERT INTO Master_Calendar (Date, Week, Month, Year, Holiday, XmlMeta) VALUES(N'2015-11-06', N'2015/45', N'2015/11', N'2015', N'', N'&lt;Root&gt;&lt;/Root&gt;')</v>
      </c>
    </row>
    <row r="314" spans="1:6" x14ac:dyDescent="0.25">
      <c r="A314" s="7">
        <v>42315</v>
      </c>
      <c r="B314" t="str">
        <f t="shared" si="24"/>
        <v>2015/45</v>
      </c>
      <c r="C314" t="str">
        <f t="shared" si="20"/>
        <v>2015/11</v>
      </c>
      <c r="D314">
        <f t="shared" si="21"/>
        <v>2015</v>
      </c>
      <c r="E314" t="str">
        <f t="shared" si="22"/>
        <v>Thứ 7</v>
      </c>
      <c r="F314" s="2" t="str">
        <f t="shared" si="23"/>
        <v>INSERT INTO Master_Calendar (Date, Week, Month, Year, Holiday, XmlMeta) VALUES(N'2015-11-07', N'2015/45', N'2015/11', N'2015', N'Thứ 7', N'&lt;Root&gt;&lt;/Root&gt;')</v>
      </c>
    </row>
    <row r="315" spans="1:6" x14ac:dyDescent="0.25">
      <c r="A315" s="7">
        <v>42316</v>
      </c>
      <c r="B315" t="str">
        <f t="shared" si="24"/>
        <v>2015/45</v>
      </c>
      <c r="C315" t="str">
        <f t="shared" si="20"/>
        <v>2015/11</v>
      </c>
      <c r="D315">
        <f t="shared" si="21"/>
        <v>2015</v>
      </c>
      <c r="E315" t="str">
        <f t="shared" si="22"/>
        <v>Chủ nhật</v>
      </c>
      <c r="F315" s="2" t="str">
        <f t="shared" si="23"/>
        <v>INSERT INTO Master_Calendar (Date, Week, Month, Year, Holiday, XmlMeta) VALUES(N'2015-11-08', N'2015/45', N'2015/11', N'2015', N'Chủ nhật', N'&lt;Root&gt;&lt;/Root&gt;')</v>
      </c>
    </row>
    <row r="316" spans="1:6" x14ac:dyDescent="0.25">
      <c r="A316" s="7">
        <v>42317</v>
      </c>
      <c r="B316" t="str">
        <f t="shared" si="24"/>
        <v>2015/46</v>
      </c>
      <c r="C316" t="str">
        <f t="shared" si="20"/>
        <v>2015/11</v>
      </c>
      <c r="D316">
        <f t="shared" si="21"/>
        <v>2015</v>
      </c>
      <c r="E316" t="str">
        <f t="shared" si="22"/>
        <v/>
      </c>
      <c r="F316" s="2" t="str">
        <f t="shared" si="23"/>
        <v>INSERT INTO Master_Calendar (Date, Week, Month, Year, Holiday, XmlMeta) VALUES(N'2015-11-09', N'2015/46', N'2015/11', N'2015', N'', N'&lt;Root&gt;&lt;/Root&gt;')</v>
      </c>
    </row>
    <row r="317" spans="1:6" x14ac:dyDescent="0.25">
      <c r="A317" s="7">
        <v>42318</v>
      </c>
      <c r="B317" t="str">
        <f t="shared" si="24"/>
        <v>2015/46</v>
      </c>
      <c r="C317" t="str">
        <f t="shared" si="20"/>
        <v>2015/11</v>
      </c>
      <c r="D317">
        <f t="shared" si="21"/>
        <v>2015</v>
      </c>
      <c r="E317" t="str">
        <f t="shared" si="22"/>
        <v/>
      </c>
      <c r="F317" s="2" t="str">
        <f t="shared" si="23"/>
        <v>INSERT INTO Master_Calendar (Date, Week, Month, Year, Holiday, XmlMeta) VALUES(N'2015-11-10', N'2015/46', N'2015/11', N'2015', N'', N'&lt;Root&gt;&lt;/Root&gt;')</v>
      </c>
    </row>
    <row r="318" spans="1:6" x14ac:dyDescent="0.25">
      <c r="A318" s="7">
        <v>42319</v>
      </c>
      <c r="B318" t="str">
        <f t="shared" si="24"/>
        <v>2015/46</v>
      </c>
      <c r="C318" t="str">
        <f t="shared" si="20"/>
        <v>2015/11</v>
      </c>
      <c r="D318">
        <f t="shared" si="21"/>
        <v>2015</v>
      </c>
      <c r="E318" t="str">
        <f t="shared" si="22"/>
        <v/>
      </c>
      <c r="F318" s="2" t="str">
        <f t="shared" si="23"/>
        <v>INSERT INTO Master_Calendar (Date, Week, Month, Year, Holiday, XmlMeta) VALUES(N'2015-11-11', N'2015/46', N'2015/11', N'2015', N'', N'&lt;Root&gt;&lt;/Root&gt;')</v>
      </c>
    </row>
    <row r="319" spans="1:6" x14ac:dyDescent="0.25">
      <c r="A319" s="7">
        <v>42320</v>
      </c>
      <c r="B319" t="str">
        <f t="shared" si="24"/>
        <v>2015/46</v>
      </c>
      <c r="C319" t="str">
        <f t="shared" si="20"/>
        <v>2015/11</v>
      </c>
      <c r="D319">
        <f t="shared" si="21"/>
        <v>2015</v>
      </c>
      <c r="E319" t="str">
        <f t="shared" si="22"/>
        <v/>
      </c>
      <c r="F319" s="2" t="str">
        <f t="shared" si="23"/>
        <v>INSERT INTO Master_Calendar (Date, Week, Month, Year, Holiday, XmlMeta) VALUES(N'2015-11-12', N'2015/46', N'2015/11', N'2015', N'', N'&lt;Root&gt;&lt;/Root&gt;')</v>
      </c>
    </row>
    <row r="320" spans="1:6" x14ac:dyDescent="0.25">
      <c r="A320" s="7">
        <v>42321</v>
      </c>
      <c r="B320" t="str">
        <f t="shared" si="24"/>
        <v>2015/46</v>
      </c>
      <c r="C320" t="str">
        <f t="shared" si="20"/>
        <v>2015/11</v>
      </c>
      <c r="D320">
        <f t="shared" si="21"/>
        <v>2015</v>
      </c>
      <c r="E320" t="str">
        <f t="shared" si="22"/>
        <v/>
      </c>
      <c r="F320" s="2" t="str">
        <f t="shared" si="23"/>
        <v>INSERT INTO Master_Calendar (Date, Week, Month, Year, Holiday, XmlMeta) VALUES(N'2015-11-13', N'2015/46', N'2015/11', N'2015', N'', N'&lt;Root&gt;&lt;/Root&gt;')</v>
      </c>
    </row>
    <row r="321" spans="1:6" x14ac:dyDescent="0.25">
      <c r="A321" s="7">
        <v>42322</v>
      </c>
      <c r="B321" t="str">
        <f t="shared" si="24"/>
        <v>2015/46</v>
      </c>
      <c r="C321" t="str">
        <f t="shared" si="20"/>
        <v>2015/11</v>
      </c>
      <c r="D321">
        <f t="shared" si="21"/>
        <v>2015</v>
      </c>
      <c r="E321" t="str">
        <f t="shared" si="22"/>
        <v>Thứ 7</v>
      </c>
      <c r="F321" s="2" t="str">
        <f t="shared" si="23"/>
        <v>INSERT INTO Master_Calendar (Date, Week, Month, Year, Holiday, XmlMeta) VALUES(N'2015-11-14', N'2015/46', N'2015/11', N'2015', N'Thứ 7', N'&lt;Root&gt;&lt;/Root&gt;')</v>
      </c>
    </row>
    <row r="322" spans="1:6" x14ac:dyDescent="0.25">
      <c r="A322" s="7">
        <v>42323</v>
      </c>
      <c r="B322" t="str">
        <f t="shared" si="24"/>
        <v>2015/46</v>
      </c>
      <c r="C322" t="str">
        <f t="shared" si="20"/>
        <v>2015/11</v>
      </c>
      <c r="D322">
        <f t="shared" si="21"/>
        <v>2015</v>
      </c>
      <c r="E322" t="str">
        <f t="shared" si="22"/>
        <v>Chủ nhật</v>
      </c>
      <c r="F322" s="2" t="str">
        <f t="shared" si="23"/>
        <v>INSERT INTO Master_Calendar (Date, Week, Month, Year, Holiday, XmlMeta) VALUES(N'2015-11-15', N'2015/46', N'2015/11', N'2015', N'Chủ nhật', N'&lt;Root&gt;&lt;/Root&gt;')</v>
      </c>
    </row>
    <row r="323" spans="1:6" x14ac:dyDescent="0.25">
      <c r="A323" s="7">
        <v>42324</v>
      </c>
      <c r="B323" t="str">
        <f t="shared" si="24"/>
        <v>2015/47</v>
      </c>
      <c r="C323" t="str">
        <f t="shared" si="20"/>
        <v>2015/11</v>
      </c>
      <c r="D323">
        <f t="shared" si="21"/>
        <v>2015</v>
      </c>
      <c r="E323" t="str">
        <f t="shared" si="22"/>
        <v/>
      </c>
      <c r="F323" s="2" t="str">
        <f t="shared" si="23"/>
        <v>INSERT INTO Master_Calendar (Date, Week, Month, Year, Holiday, XmlMeta) VALUES(N'2015-11-16', N'2015/47', N'2015/11', N'2015', N'', N'&lt;Root&gt;&lt;/Root&gt;')</v>
      </c>
    </row>
    <row r="324" spans="1:6" x14ac:dyDescent="0.25">
      <c r="A324" s="7">
        <v>42325</v>
      </c>
      <c r="B324" t="str">
        <f t="shared" si="24"/>
        <v>2015/47</v>
      </c>
      <c r="C324" t="str">
        <f t="shared" si="20"/>
        <v>2015/11</v>
      </c>
      <c r="D324">
        <f t="shared" si="21"/>
        <v>2015</v>
      </c>
      <c r="E324" t="str">
        <f t="shared" si="22"/>
        <v/>
      </c>
      <c r="F324" s="2" t="str">
        <f t="shared" si="23"/>
        <v>INSERT INTO Master_Calendar (Date, Week, Month, Year, Holiday, XmlMeta) VALUES(N'2015-11-17', N'2015/47', N'2015/11', N'2015', N'', N'&lt;Root&gt;&lt;/Root&gt;')</v>
      </c>
    </row>
    <row r="325" spans="1:6" x14ac:dyDescent="0.25">
      <c r="A325" s="7">
        <v>42326</v>
      </c>
      <c r="B325" t="str">
        <f t="shared" si="24"/>
        <v>2015/47</v>
      </c>
      <c r="C325" t="str">
        <f t="shared" ref="C325:C388" si="25">YEAR(A325)&amp;"/"&amp;RIGHT("00"&amp;MONTH(A325),2)</f>
        <v>2015/11</v>
      </c>
      <c r="D325">
        <f t="shared" ref="D325:D388" si="26">YEAR(A325)</f>
        <v>2015</v>
      </c>
      <c r="E325" t="str">
        <f t="shared" ref="E325:E388" si="27">IF(WEEKDAY(A325)=1, "Chủ nhật", IF(WEEKDAY(A325)=7, "Thứ 7", ""))</f>
        <v/>
      </c>
      <c r="F325" s="2" t="str">
        <f t="shared" ref="F325:F388" si="28">"INSERT INTO "&amp;$B$1&amp;" ("&amp;$A$3&amp;", "&amp;$B$3&amp;", "&amp;$C$3&amp;", "&amp;$D$3&amp;", "&amp;$E$3&amp;", XmlMeta) VALUES(N'"&amp;TEXT(A325, "yyyy-MM-dd")&amp;"', N'"&amp;B325&amp;"', N'"&amp;C325&amp;"', N'"&amp;D325&amp;"', N'"&amp;E325&amp;"', N'&lt;Root&gt;&lt;/Root&gt;')"</f>
        <v>INSERT INTO Master_Calendar (Date, Week, Month, Year, Holiday, XmlMeta) VALUES(N'2015-11-18', N'2015/47', N'2015/11', N'2015', N'', N'&lt;Root&gt;&lt;/Root&gt;')</v>
      </c>
    </row>
    <row r="326" spans="1:6" x14ac:dyDescent="0.25">
      <c r="A326" s="7">
        <v>42327</v>
      </c>
      <c r="B326" t="str">
        <f t="shared" ref="B326:B389" si="29">YEAR(A326) &amp; "/" &amp; RIGHT("00" &amp; IF(WEEKNUM(A326, 2) &gt; 52, 52, WEEKNUM(A326, 2)), 2)</f>
        <v>2015/47</v>
      </c>
      <c r="C326" t="str">
        <f t="shared" si="25"/>
        <v>2015/11</v>
      </c>
      <c r="D326">
        <f t="shared" si="26"/>
        <v>2015</v>
      </c>
      <c r="E326" t="str">
        <f t="shared" si="27"/>
        <v/>
      </c>
      <c r="F326" s="2" t="str">
        <f t="shared" si="28"/>
        <v>INSERT INTO Master_Calendar (Date, Week, Month, Year, Holiday, XmlMeta) VALUES(N'2015-11-19', N'2015/47', N'2015/11', N'2015', N'', N'&lt;Root&gt;&lt;/Root&gt;')</v>
      </c>
    </row>
    <row r="327" spans="1:6" x14ac:dyDescent="0.25">
      <c r="A327" s="7">
        <v>42328</v>
      </c>
      <c r="B327" t="str">
        <f t="shared" si="29"/>
        <v>2015/47</v>
      </c>
      <c r="C327" t="str">
        <f t="shared" si="25"/>
        <v>2015/11</v>
      </c>
      <c r="D327">
        <f t="shared" si="26"/>
        <v>2015</v>
      </c>
      <c r="E327" t="str">
        <f t="shared" si="27"/>
        <v/>
      </c>
      <c r="F327" s="2" t="str">
        <f t="shared" si="28"/>
        <v>INSERT INTO Master_Calendar (Date, Week, Month, Year, Holiday, XmlMeta) VALUES(N'2015-11-20', N'2015/47', N'2015/11', N'2015', N'', N'&lt;Root&gt;&lt;/Root&gt;')</v>
      </c>
    </row>
    <row r="328" spans="1:6" x14ac:dyDescent="0.25">
      <c r="A328" s="7">
        <v>42329</v>
      </c>
      <c r="B328" t="str">
        <f t="shared" si="29"/>
        <v>2015/47</v>
      </c>
      <c r="C328" t="str">
        <f t="shared" si="25"/>
        <v>2015/11</v>
      </c>
      <c r="D328">
        <f t="shared" si="26"/>
        <v>2015</v>
      </c>
      <c r="E328" t="str">
        <f t="shared" si="27"/>
        <v>Thứ 7</v>
      </c>
      <c r="F328" s="2" t="str">
        <f t="shared" si="28"/>
        <v>INSERT INTO Master_Calendar (Date, Week, Month, Year, Holiday, XmlMeta) VALUES(N'2015-11-21', N'2015/47', N'2015/11', N'2015', N'Thứ 7', N'&lt;Root&gt;&lt;/Root&gt;')</v>
      </c>
    </row>
    <row r="329" spans="1:6" x14ac:dyDescent="0.25">
      <c r="A329" s="7">
        <v>42330</v>
      </c>
      <c r="B329" t="str">
        <f t="shared" si="29"/>
        <v>2015/47</v>
      </c>
      <c r="C329" t="str">
        <f t="shared" si="25"/>
        <v>2015/11</v>
      </c>
      <c r="D329">
        <f t="shared" si="26"/>
        <v>2015</v>
      </c>
      <c r="E329" t="str">
        <f t="shared" si="27"/>
        <v>Chủ nhật</v>
      </c>
      <c r="F329" s="2" t="str">
        <f t="shared" si="28"/>
        <v>INSERT INTO Master_Calendar (Date, Week, Month, Year, Holiday, XmlMeta) VALUES(N'2015-11-22', N'2015/47', N'2015/11', N'2015', N'Chủ nhật', N'&lt;Root&gt;&lt;/Root&gt;')</v>
      </c>
    </row>
    <row r="330" spans="1:6" x14ac:dyDescent="0.25">
      <c r="A330" s="7">
        <v>42331</v>
      </c>
      <c r="B330" t="str">
        <f t="shared" si="29"/>
        <v>2015/48</v>
      </c>
      <c r="C330" t="str">
        <f t="shared" si="25"/>
        <v>2015/11</v>
      </c>
      <c r="D330">
        <f t="shared" si="26"/>
        <v>2015</v>
      </c>
      <c r="E330" t="str">
        <f t="shared" si="27"/>
        <v/>
      </c>
      <c r="F330" s="2" t="str">
        <f t="shared" si="28"/>
        <v>INSERT INTO Master_Calendar (Date, Week, Month, Year, Holiday, XmlMeta) VALUES(N'2015-11-23', N'2015/48', N'2015/11', N'2015', N'', N'&lt;Root&gt;&lt;/Root&gt;')</v>
      </c>
    </row>
    <row r="331" spans="1:6" x14ac:dyDescent="0.25">
      <c r="A331" s="7">
        <v>42332</v>
      </c>
      <c r="B331" t="str">
        <f t="shared" si="29"/>
        <v>2015/48</v>
      </c>
      <c r="C331" t="str">
        <f t="shared" si="25"/>
        <v>2015/11</v>
      </c>
      <c r="D331">
        <f t="shared" si="26"/>
        <v>2015</v>
      </c>
      <c r="E331" t="str">
        <f t="shared" si="27"/>
        <v/>
      </c>
      <c r="F331" s="2" t="str">
        <f t="shared" si="28"/>
        <v>INSERT INTO Master_Calendar (Date, Week, Month, Year, Holiday, XmlMeta) VALUES(N'2015-11-24', N'2015/48', N'2015/11', N'2015', N'', N'&lt;Root&gt;&lt;/Root&gt;')</v>
      </c>
    </row>
    <row r="332" spans="1:6" x14ac:dyDescent="0.25">
      <c r="A332" s="7">
        <v>42333</v>
      </c>
      <c r="B332" t="str">
        <f t="shared" si="29"/>
        <v>2015/48</v>
      </c>
      <c r="C332" t="str">
        <f t="shared" si="25"/>
        <v>2015/11</v>
      </c>
      <c r="D332">
        <f t="shared" si="26"/>
        <v>2015</v>
      </c>
      <c r="E332" t="str">
        <f t="shared" si="27"/>
        <v/>
      </c>
      <c r="F332" s="2" t="str">
        <f t="shared" si="28"/>
        <v>INSERT INTO Master_Calendar (Date, Week, Month, Year, Holiday, XmlMeta) VALUES(N'2015-11-25', N'2015/48', N'2015/11', N'2015', N'', N'&lt;Root&gt;&lt;/Root&gt;')</v>
      </c>
    </row>
    <row r="333" spans="1:6" x14ac:dyDescent="0.25">
      <c r="A333" s="7">
        <v>42334</v>
      </c>
      <c r="B333" t="str">
        <f t="shared" si="29"/>
        <v>2015/48</v>
      </c>
      <c r="C333" t="str">
        <f t="shared" si="25"/>
        <v>2015/11</v>
      </c>
      <c r="D333">
        <f t="shared" si="26"/>
        <v>2015</v>
      </c>
      <c r="E333" t="str">
        <f t="shared" si="27"/>
        <v/>
      </c>
      <c r="F333" s="2" t="str">
        <f t="shared" si="28"/>
        <v>INSERT INTO Master_Calendar (Date, Week, Month, Year, Holiday, XmlMeta) VALUES(N'2015-11-26', N'2015/48', N'2015/11', N'2015', N'', N'&lt;Root&gt;&lt;/Root&gt;')</v>
      </c>
    </row>
    <row r="334" spans="1:6" x14ac:dyDescent="0.25">
      <c r="A334" s="7">
        <v>42335</v>
      </c>
      <c r="B334" t="str">
        <f t="shared" si="29"/>
        <v>2015/48</v>
      </c>
      <c r="C334" t="str">
        <f t="shared" si="25"/>
        <v>2015/11</v>
      </c>
      <c r="D334">
        <f t="shared" si="26"/>
        <v>2015</v>
      </c>
      <c r="E334" t="str">
        <f t="shared" si="27"/>
        <v/>
      </c>
      <c r="F334" s="2" t="str">
        <f t="shared" si="28"/>
        <v>INSERT INTO Master_Calendar (Date, Week, Month, Year, Holiday, XmlMeta) VALUES(N'2015-11-27', N'2015/48', N'2015/11', N'2015', N'', N'&lt;Root&gt;&lt;/Root&gt;')</v>
      </c>
    </row>
    <row r="335" spans="1:6" x14ac:dyDescent="0.25">
      <c r="A335" s="7">
        <v>42336</v>
      </c>
      <c r="B335" t="str">
        <f t="shared" si="29"/>
        <v>2015/48</v>
      </c>
      <c r="C335" t="str">
        <f t="shared" si="25"/>
        <v>2015/11</v>
      </c>
      <c r="D335">
        <f t="shared" si="26"/>
        <v>2015</v>
      </c>
      <c r="E335" t="str">
        <f t="shared" si="27"/>
        <v>Thứ 7</v>
      </c>
      <c r="F335" s="2" t="str">
        <f t="shared" si="28"/>
        <v>INSERT INTO Master_Calendar (Date, Week, Month, Year, Holiday, XmlMeta) VALUES(N'2015-11-28', N'2015/48', N'2015/11', N'2015', N'Thứ 7', N'&lt;Root&gt;&lt;/Root&gt;')</v>
      </c>
    </row>
    <row r="336" spans="1:6" x14ac:dyDescent="0.25">
      <c r="A336" s="7">
        <v>42337</v>
      </c>
      <c r="B336" t="str">
        <f t="shared" si="29"/>
        <v>2015/48</v>
      </c>
      <c r="C336" t="str">
        <f t="shared" si="25"/>
        <v>2015/11</v>
      </c>
      <c r="D336">
        <f t="shared" si="26"/>
        <v>2015</v>
      </c>
      <c r="E336" t="str">
        <f t="shared" si="27"/>
        <v>Chủ nhật</v>
      </c>
      <c r="F336" s="2" t="str">
        <f t="shared" si="28"/>
        <v>INSERT INTO Master_Calendar (Date, Week, Month, Year, Holiday, XmlMeta) VALUES(N'2015-11-29', N'2015/48', N'2015/11', N'2015', N'Chủ nhật', N'&lt;Root&gt;&lt;/Root&gt;')</v>
      </c>
    </row>
    <row r="337" spans="1:6" x14ac:dyDescent="0.25">
      <c r="A337" s="7">
        <v>42338</v>
      </c>
      <c r="B337" t="str">
        <f t="shared" si="29"/>
        <v>2015/49</v>
      </c>
      <c r="C337" t="str">
        <f t="shared" si="25"/>
        <v>2015/11</v>
      </c>
      <c r="D337">
        <f t="shared" si="26"/>
        <v>2015</v>
      </c>
      <c r="E337" t="str">
        <f t="shared" si="27"/>
        <v/>
      </c>
      <c r="F337" s="2" t="str">
        <f t="shared" si="28"/>
        <v>INSERT INTO Master_Calendar (Date, Week, Month, Year, Holiday, XmlMeta) VALUES(N'2015-11-30', N'2015/49', N'2015/11', N'2015', N'', N'&lt;Root&gt;&lt;/Root&gt;')</v>
      </c>
    </row>
    <row r="338" spans="1:6" x14ac:dyDescent="0.25">
      <c r="A338" s="7">
        <v>42339</v>
      </c>
      <c r="B338" t="str">
        <f t="shared" si="29"/>
        <v>2015/49</v>
      </c>
      <c r="C338" t="str">
        <f t="shared" si="25"/>
        <v>2015/12</v>
      </c>
      <c r="D338">
        <f t="shared" si="26"/>
        <v>2015</v>
      </c>
      <c r="E338" t="str">
        <f t="shared" si="27"/>
        <v/>
      </c>
      <c r="F338" s="2" t="str">
        <f t="shared" si="28"/>
        <v>INSERT INTO Master_Calendar (Date, Week, Month, Year, Holiday, XmlMeta) VALUES(N'2015-12-01', N'2015/49', N'2015/12', N'2015', N'', N'&lt;Root&gt;&lt;/Root&gt;')</v>
      </c>
    </row>
    <row r="339" spans="1:6" x14ac:dyDescent="0.25">
      <c r="A339" s="7">
        <v>42340</v>
      </c>
      <c r="B339" t="str">
        <f t="shared" si="29"/>
        <v>2015/49</v>
      </c>
      <c r="C339" t="str">
        <f t="shared" si="25"/>
        <v>2015/12</v>
      </c>
      <c r="D339">
        <f t="shared" si="26"/>
        <v>2015</v>
      </c>
      <c r="E339" t="str">
        <f t="shared" si="27"/>
        <v/>
      </c>
      <c r="F339" s="2" t="str">
        <f t="shared" si="28"/>
        <v>INSERT INTO Master_Calendar (Date, Week, Month, Year, Holiday, XmlMeta) VALUES(N'2015-12-02', N'2015/49', N'2015/12', N'2015', N'', N'&lt;Root&gt;&lt;/Root&gt;')</v>
      </c>
    </row>
    <row r="340" spans="1:6" x14ac:dyDescent="0.25">
      <c r="A340" s="7">
        <v>42341</v>
      </c>
      <c r="B340" t="str">
        <f t="shared" si="29"/>
        <v>2015/49</v>
      </c>
      <c r="C340" t="str">
        <f t="shared" si="25"/>
        <v>2015/12</v>
      </c>
      <c r="D340">
        <f t="shared" si="26"/>
        <v>2015</v>
      </c>
      <c r="E340" t="str">
        <f t="shared" si="27"/>
        <v/>
      </c>
      <c r="F340" s="2" t="str">
        <f t="shared" si="28"/>
        <v>INSERT INTO Master_Calendar (Date, Week, Month, Year, Holiday, XmlMeta) VALUES(N'2015-12-03', N'2015/49', N'2015/12', N'2015', N'', N'&lt;Root&gt;&lt;/Root&gt;')</v>
      </c>
    </row>
    <row r="341" spans="1:6" x14ac:dyDescent="0.25">
      <c r="A341" s="7">
        <v>42342</v>
      </c>
      <c r="B341" t="str">
        <f t="shared" si="29"/>
        <v>2015/49</v>
      </c>
      <c r="C341" t="str">
        <f t="shared" si="25"/>
        <v>2015/12</v>
      </c>
      <c r="D341">
        <f t="shared" si="26"/>
        <v>2015</v>
      </c>
      <c r="E341" t="str">
        <f t="shared" si="27"/>
        <v/>
      </c>
      <c r="F341" s="2" t="str">
        <f t="shared" si="28"/>
        <v>INSERT INTO Master_Calendar (Date, Week, Month, Year, Holiday, XmlMeta) VALUES(N'2015-12-04', N'2015/49', N'2015/12', N'2015', N'', N'&lt;Root&gt;&lt;/Root&gt;')</v>
      </c>
    </row>
    <row r="342" spans="1:6" x14ac:dyDescent="0.25">
      <c r="A342" s="7">
        <v>42343</v>
      </c>
      <c r="B342" t="str">
        <f t="shared" si="29"/>
        <v>2015/49</v>
      </c>
      <c r="C342" t="str">
        <f t="shared" si="25"/>
        <v>2015/12</v>
      </c>
      <c r="D342">
        <f t="shared" si="26"/>
        <v>2015</v>
      </c>
      <c r="E342" t="str">
        <f t="shared" si="27"/>
        <v>Thứ 7</v>
      </c>
      <c r="F342" s="2" t="str">
        <f t="shared" si="28"/>
        <v>INSERT INTO Master_Calendar (Date, Week, Month, Year, Holiday, XmlMeta) VALUES(N'2015-12-05', N'2015/49', N'2015/12', N'2015', N'Thứ 7', N'&lt;Root&gt;&lt;/Root&gt;')</v>
      </c>
    </row>
    <row r="343" spans="1:6" x14ac:dyDescent="0.25">
      <c r="A343" s="7">
        <v>42344</v>
      </c>
      <c r="B343" t="str">
        <f t="shared" si="29"/>
        <v>2015/49</v>
      </c>
      <c r="C343" t="str">
        <f t="shared" si="25"/>
        <v>2015/12</v>
      </c>
      <c r="D343">
        <f t="shared" si="26"/>
        <v>2015</v>
      </c>
      <c r="E343" t="str">
        <f t="shared" si="27"/>
        <v>Chủ nhật</v>
      </c>
      <c r="F343" s="2" t="str">
        <f t="shared" si="28"/>
        <v>INSERT INTO Master_Calendar (Date, Week, Month, Year, Holiday, XmlMeta) VALUES(N'2015-12-06', N'2015/49', N'2015/12', N'2015', N'Chủ nhật', N'&lt;Root&gt;&lt;/Root&gt;')</v>
      </c>
    </row>
    <row r="344" spans="1:6" x14ac:dyDescent="0.25">
      <c r="A344" s="7">
        <v>42345</v>
      </c>
      <c r="B344" t="str">
        <f t="shared" si="29"/>
        <v>2015/50</v>
      </c>
      <c r="C344" t="str">
        <f t="shared" si="25"/>
        <v>2015/12</v>
      </c>
      <c r="D344">
        <f t="shared" si="26"/>
        <v>2015</v>
      </c>
      <c r="E344" t="str">
        <f t="shared" si="27"/>
        <v/>
      </c>
      <c r="F344" s="2" t="str">
        <f t="shared" si="28"/>
        <v>INSERT INTO Master_Calendar (Date, Week, Month, Year, Holiday, XmlMeta) VALUES(N'2015-12-07', N'2015/50', N'2015/12', N'2015', N'', N'&lt;Root&gt;&lt;/Root&gt;')</v>
      </c>
    </row>
    <row r="345" spans="1:6" x14ac:dyDescent="0.25">
      <c r="A345" s="7">
        <v>42346</v>
      </c>
      <c r="B345" t="str">
        <f t="shared" si="29"/>
        <v>2015/50</v>
      </c>
      <c r="C345" t="str">
        <f t="shared" si="25"/>
        <v>2015/12</v>
      </c>
      <c r="D345">
        <f t="shared" si="26"/>
        <v>2015</v>
      </c>
      <c r="E345" t="str">
        <f t="shared" si="27"/>
        <v/>
      </c>
      <c r="F345" s="2" t="str">
        <f t="shared" si="28"/>
        <v>INSERT INTO Master_Calendar (Date, Week, Month, Year, Holiday, XmlMeta) VALUES(N'2015-12-08', N'2015/50', N'2015/12', N'2015', N'', N'&lt;Root&gt;&lt;/Root&gt;')</v>
      </c>
    </row>
    <row r="346" spans="1:6" x14ac:dyDescent="0.25">
      <c r="A346" s="7">
        <v>42347</v>
      </c>
      <c r="B346" t="str">
        <f t="shared" si="29"/>
        <v>2015/50</v>
      </c>
      <c r="C346" t="str">
        <f t="shared" si="25"/>
        <v>2015/12</v>
      </c>
      <c r="D346">
        <f t="shared" si="26"/>
        <v>2015</v>
      </c>
      <c r="E346" t="str">
        <f t="shared" si="27"/>
        <v/>
      </c>
      <c r="F346" s="2" t="str">
        <f t="shared" si="28"/>
        <v>INSERT INTO Master_Calendar (Date, Week, Month, Year, Holiday, XmlMeta) VALUES(N'2015-12-09', N'2015/50', N'2015/12', N'2015', N'', N'&lt;Root&gt;&lt;/Root&gt;')</v>
      </c>
    </row>
    <row r="347" spans="1:6" x14ac:dyDescent="0.25">
      <c r="A347" s="7">
        <v>42348</v>
      </c>
      <c r="B347" t="str">
        <f t="shared" si="29"/>
        <v>2015/50</v>
      </c>
      <c r="C347" t="str">
        <f t="shared" si="25"/>
        <v>2015/12</v>
      </c>
      <c r="D347">
        <f t="shared" si="26"/>
        <v>2015</v>
      </c>
      <c r="E347" t="str">
        <f t="shared" si="27"/>
        <v/>
      </c>
      <c r="F347" s="2" t="str">
        <f t="shared" si="28"/>
        <v>INSERT INTO Master_Calendar (Date, Week, Month, Year, Holiday, XmlMeta) VALUES(N'2015-12-10', N'2015/50', N'2015/12', N'2015', N'', N'&lt;Root&gt;&lt;/Root&gt;')</v>
      </c>
    </row>
    <row r="348" spans="1:6" x14ac:dyDescent="0.25">
      <c r="A348" s="7">
        <v>42349</v>
      </c>
      <c r="B348" t="str">
        <f t="shared" si="29"/>
        <v>2015/50</v>
      </c>
      <c r="C348" t="str">
        <f t="shared" si="25"/>
        <v>2015/12</v>
      </c>
      <c r="D348">
        <f t="shared" si="26"/>
        <v>2015</v>
      </c>
      <c r="E348" t="str">
        <f t="shared" si="27"/>
        <v/>
      </c>
      <c r="F348" s="2" t="str">
        <f t="shared" si="28"/>
        <v>INSERT INTO Master_Calendar (Date, Week, Month, Year, Holiday, XmlMeta) VALUES(N'2015-12-11', N'2015/50', N'2015/12', N'2015', N'', N'&lt;Root&gt;&lt;/Root&gt;')</v>
      </c>
    </row>
    <row r="349" spans="1:6" x14ac:dyDescent="0.25">
      <c r="A349" s="7">
        <v>42350</v>
      </c>
      <c r="B349" t="str">
        <f t="shared" si="29"/>
        <v>2015/50</v>
      </c>
      <c r="C349" t="str">
        <f t="shared" si="25"/>
        <v>2015/12</v>
      </c>
      <c r="D349">
        <f t="shared" si="26"/>
        <v>2015</v>
      </c>
      <c r="E349" t="str">
        <f t="shared" si="27"/>
        <v>Thứ 7</v>
      </c>
      <c r="F349" s="2" t="str">
        <f t="shared" si="28"/>
        <v>INSERT INTO Master_Calendar (Date, Week, Month, Year, Holiday, XmlMeta) VALUES(N'2015-12-12', N'2015/50', N'2015/12', N'2015', N'Thứ 7', N'&lt;Root&gt;&lt;/Root&gt;')</v>
      </c>
    </row>
    <row r="350" spans="1:6" x14ac:dyDescent="0.25">
      <c r="A350" s="7">
        <v>42351</v>
      </c>
      <c r="B350" t="str">
        <f t="shared" si="29"/>
        <v>2015/50</v>
      </c>
      <c r="C350" t="str">
        <f t="shared" si="25"/>
        <v>2015/12</v>
      </c>
      <c r="D350">
        <f t="shared" si="26"/>
        <v>2015</v>
      </c>
      <c r="E350" t="str">
        <f t="shared" si="27"/>
        <v>Chủ nhật</v>
      </c>
      <c r="F350" s="2" t="str">
        <f t="shared" si="28"/>
        <v>INSERT INTO Master_Calendar (Date, Week, Month, Year, Holiday, XmlMeta) VALUES(N'2015-12-13', N'2015/50', N'2015/12', N'2015', N'Chủ nhật', N'&lt;Root&gt;&lt;/Root&gt;')</v>
      </c>
    </row>
    <row r="351" spans="1:6" x14ac:dyDescent="0.25">
      <c r="A351" s="7">
        <v>42352</v>
      </c>
      <c r="B351" t="str">
        <f t="shared" si="29"/>
        <v>2015/51</v>
      </c>
      <c r="C351" t="str">
        <f t="shared" si="25"/>
        <v>2015/12</v>
      </c>
      <c r="D351">
        <f t="shared" si="26"/>
        <v>2015</v>
      </c>
      <c r="E351" t="str">
        <f t="shared" si="27"/>
        <v/>
      </c>
      <c r="F351" s="2" t="str">
        <f t="shared" si="28"/>
        <v>INSERT INTO Master_Calendar (Date, Week, Month, Year, Holiday, XmlMeta) VALUES(N'2015-12-14', N'2015/51', N'2015/12', N'2015', N'', N'&lt;Root&gt;&lt;/Root&gt;')</v>
      </c>
    </row>
    <row r="352" spans="1:6" x14ac:dyDescent="0.25">
      <c r="A352" s="7">
        <v>42353</v>
      </c>
      <c r="B352" t="str">
        <f t="shared" si="29"/>
        <v>2015/51</v>
      </c>
      <c r="C352" t="str">
        <f t="shared" si="25"/>
        <v>2015/12</v>
      </c>
      <c r="D352">
        <f t="shared" si="26"/>
        <v>2015</v>
      </c>
      <c r="E352" t="str">
        <f t="shared" si="27"/>
        <v/>
      </c>
      <c r="F352" s="2" t="str">
        <f t="shared" si="28"/>
        <v>INSERT INTO Master_Calendar (Date, Week, Month, Year, Holiday, XmlMeta) VALUES(N'2015-12-15', N'2015/51', N'2015/12', N'2015', N'', N'&lt;Root&gt;&lt;/Root&gt;')</v>
      </c>
    </row>
    <row r="353" spans="1:6" x14ac:dyDescent="0.25">
      <c r="A353" s="7">
        <v>42354</v>
      </c>
      <c r="B353" t="str">
        <f t="shared" si="29"/>
        <v>2015/51</v>
      </c>
      <c r="C353" t="str">
        <f t="shared" si="25"/>
        <v>2015/12</v>
      </c>
      <c r="D353">
        <f t="shared" si="26"/>
        <v>2015</v>
      </c>
      <c r="E353" t="str">
        <f t="shared" si="27"/>
        <v/>
      </c>
      <c r="F353" s="2" t="str">
        <f t="shared" si="28"/>
        <v>INSERT INTO Master_Calendar (Date, Week, Month, Year, Holiday, XmlMeta) VALUES(N'2015-12-16', N'2015/51', N'2015/12', N'2015', N'', N'&lt;Root&gt;&lt;/Root&gt;')</v>
      </c>
    </row>
    <row r="354" spans="1:6" x14ac:dyDescent="0.25">
      <c r="A354" s="7">
        <v>42355</v>
      </c>
      <c r="B354" t="str">
        <f t="shared" si="29"/>
        <v>2015/51</v>
      </c>
      <c r="C354" t="str">
        <f t="shared" si="25"/>
        <v>2015/12</v>
      </c>
      <c r="D354">
        <f t="shared" si="26"/>
        <v>2015</v>
      </c>
      <c r="E354" t="str">
        <f t="shared" si="27"/>
        <v/>
      </c>
      <c r="F354" s="2" t="str">
        <f t="shared" si="28"/>
        <v>INSERT INTO Master_Calendar (Date, Week, Month, Year, Holiday, XmlMeta) VALUES(N'2015-12-17', N'2015/51', N'2015/12', N'2015', N'', N'&lt;Root&gt;&lt;/Root&gt;')</v>
      </c>
    </row>
    <row r="355" spans="1:6" x14ac:dyDescent="0.25">
      <c r="A355" s="7">
        <v>42356</v>
      </c>
      <c r="B355" t="str">
        <f t="shared" si="29"/>
        <v>2015/51</v>
      </c>
      <c r="C355" t="str">
        <f t="shared" si="25"/>
        <v>2015/12</v>
      </c>
      <c r="D355">
        <f t="shared" si="26"/>
        <v>2015</v>
      </c>
      <c r="E355" t="str">
        <f t="shared" si="27"/>
        <v/>
      </c>
      <c r="F355" s="2" t="str">
        <f t="shared" si="28"/>
        <v>INSERT INTO Master_Calendar (Date, Week, Month, Year, Holiday, XmlMeta) VALUES(N'2015-12-18', N'2015/51', N'2015/12', N'2015', N'', N'&lt;Root&gt;&lt;/Root&gt;')</v>
      </c>
    </row>
    <row r="356" spans="1:6" x14ac:dyDescent="0.25">
      <c r="A356" s="7">
        <v>42357</v>
      </c>
      <c r="B356" t="str">
        <f t="shared" si="29"/>
        <v>2015/51</v>
      </c>
      <c r="C356" t="str">
        <f t="shared" si="25"/>
        <v>2015/12</v>
      </c>
      <c r="D356">
        <f t="shared" si="26"/>
        <v>2015</v>
      </c>
      <c r="E356" t="str">
        <f t="shared" si="27"/>
        <v>Thứ 7</v>
      </c>
      <c r="F356" s="2" t="str">
        <f t="shared" si="28"/>
        <v>INSERT INTO Master_Calendar (Date, Week, Month, Year, Holiday, XmlMeta) VALUES(N'2015-12-19', N'2015/51', N'2015/12', N'2015', N'Thứ 7', N'&lt;Root&gt;&lt;/Root&gt;')</v>
      </c>
    </row>
    <row r="357" spans="1:6" x14ac:dyDescent="0.25">
      <c r="A357" s="7">
        <v>42358</v>
      </c>
      <c r="B357" t="str">
        <f t="shared" si="29"/>
        <v>2015/51</v>
      </c>
      <c r="C357" t="str">
        <f t="shared" si="25"/>
        <v>2015/12</v>
      </c>
      <c r="D357">
        <f t="shared" si="26"/>
        <v>2015</v>
      </c>
      <c r="E357" t="str">
        <f t="shared" si="27"/>
        <v>Chủ nhật</v>
      </c>
      <c r="F357" s="2" t="str">
        <f t="shared" si="28"/>
        <v>INSERT INTO Master_Calendar (Date, Week, Month, Year, Holiday, XmlMeta) VALUES(N'2015-12-20', N'2015/51', N'2015/12', N'2015', N'Chủ nhật', N'&lt;Root&gt;&lt;/Root&gt;')</v>
      </c>
    </row>
    <row r="358" spans="1:6" x14ac:dyDescent="0.25">
      <c r="A358" s="7">
        <v>42359</v>
      </c>
      <c r="B358" t="str">
        <f t="shared" si="29"/>
        <v>2015/52</v>
      </c>
      <c r="C358" t="str">
        <f t="shared" si="25"/>
        <v>2015/12</v>
      </c>
      <c r="D358">
        <f t="shared" si="26"/>
        <v>2015</v>
      </c>
      <c r="E358" t="str">
        <f t="shared" si="27"/>
        <v/>
      </c>
      <c r="F358" s="2" t="str">
        <f t="shared" si="28"/>
        <v>INSERT INTO Master_Calendar (Date, Week, Month, Year, Holiday, XmlMeta) VALUES(N'2015-12-21', N'2015/52', N'2015/12', N'2015', N'', N'&lt;Root&gt;&lt;/Root&gt;')</v>
      </c>
    </row>
    <row r="359" spans="1:6" x14ac:dyDescent="0.25">
      <c r="A359" s="7">
        <v>42360</v>
      </c>
      <c r="B359" t="str">
        <f t="shared" si="29"/>
        <v>2015/52</v>
      </c>
      <c r="C359" t="str">
        <f t="shared" si="25"/>
        <v>2015/12</v>
      </c>
      <c r="D359">
        <f t="shared" si="26"/>
        <v>2015</v>
      </c>
      <c r="E359" t="str">
        <f t="shared" si="27"/>
        <v/>
      </c>
      <c r="F359" s="2" t="str">
        <f t="shared" si="28"/>
        <v>INSERT INTO Master_Calendar (Date, Week, Month, Year, Holiday, XmlMeta) VALUES(N'2015-12-22', N'2015/52', N'2015/12', N'2015', N'', N'&lt;Root&gt;&lt;/Root&gt;')</v>
      </c>
    </row>
    <row r="360" spans="1:6" x14ac:dyDescent="0.25">
      <c r="A360" s="7">
        <v>42361</v>
      </c>
      <c r="B360" t="str">
        <f t="shared" si="29"/>
        <v>2015/52</v>
      </c>
      <c r="C360" t="str">
        <f t="shared" si="25"/>
        <v>2015/12</v>
      </c>
      <c r="D360">
        <f t="shared" si="26"/>
        <v>2015</v>
      </c>
      <c r="E360" t="str">
        <f t="shared" si="27"/>
        <v/>
      </c>
      <c r="F360" s="2" t="str">
        <f t="shared" si="28"/>
        <v>INSERT INTO Master_Calendar (Date, Week, Month, Year, Holiday, XmlMeta) VALUES(N'2015-12-23', N'2015/52', N'2015/12', N'2015', N'', N'&lt;Root&gt;&lt;/Root&gt;')</v>
      </c>
    </row>
    <row r="361" spans="1:6" x14ac:dyDescent="0.25">
      <c r="A361" s="7">
        <v>42362</v>
      </c>
      <c r="B361" t="str">
        <f t="shared" si="29"/>
        <v>2015/52</v>
      </c>
      <c r="C361" t="str">
        <f t="shared" si="25"/>
        <v>2015/12</v>
      </c>
      <c r="D361">
        <f t="shared" si="26"/>
        <v>2015</v>
      </c>
      <c r="E361" t="str">
        <f t="shared" si="27"/>
        <v/>
      </c>
      <c r="F361" s="2" t="str">
        <f t="shared" si="28"/>
        <v>INSERT INTO Master_Calendar (Date, Week, Month, Year, Holiday, XmlMeta) VALUES(N'2015-12-24', N'2015/52', N'2015/12', N'2015', N'', N'&lt;Root&gt;&lt;/Root&gt;')</v>
      </c>
    </row>
    <row r="362" spans="1:6" x14ac:dyDescent="0.25">
      <c r="A362" s="7">
        <v>42363</v>
      </c>
      <c r="B362" t="str">
        <f t="shared" si="29"/>
        <v>2015/52</v>
      </c>
      <c r="C362" t="str">
        <f t="shared" si="25"/>
        <v>2015/12</v>
      </c>
      <c r="D362">
        <f t="shared" si="26"/>
        <v>2015</v>
      </c>
      <c r="E362" t="str">
        <f t="shared" si="27"/>
        <v/>
      </c>
      <c r="F362" s="2" t="str">
        <f t="shared" si="28"/>
        <v>INSERT INTO Master_Calendar (Date, Week, Month, Year, Holiday, XmlMeta) VALUES(N'2015-12-25', N'2015/52', N'2015/12', N'2015', N'', N'&lt;Root&gt;&lt;/Root&gt;')</v>
      </c>
    </row>
    <row r="363" spans="1:6" x14ac:dyDescent="0.25">
      <c r="A363" s="7">
        <v>42364</v>
      </c>
      <c r="B363" t="str">
        <f t="shared" si="29"/>
        <v>2015/52</v>
      </c>
      <c r="C363" t="str">
        <f t="shared" si="25"/>
        <v>2015/12</v>
      </c>
      <c r="D363">
        <f t="shared" si="26"/>
        <v>2015</v>
      </c>
      <c r="E363" t="str">
        <f t="shared" si="27"/>
        <v>Thứ 7</v>
      </c>
      <c r="F363" s="2" t="str">
        <f t="shared" si="28"/>
        <v>INSERT INTO Master_Calendar (Date, Week, Month, Year, Holiday, XmlMeta) VALUES(N'2015-12-26', N'2015/52', N'2015/12', N'2015', N'Thứ 7', N'&lt;Root&gt;&lt;/Root&gt;')</v>
      </c>
    </row>
    <row r="364" spans="1:6" x14ac:dyDescent="0.25">
      <c r="A364" s="7">
        <v>42365</v>
      </c>
      <c r="B364" t="str">
        <f t="shared" si="29"/>
        <v>2015/52</v>
      </c>
      <c r="C364" t="str">
        <f t="shared" si="25"/>
        <v>2015/12</v>
      </c>
      <c r="D364">
        <f t="shared" si="26"/>
        <v>2015</v>
      </c>
      <c r="E364" t="str">
        <f t="shared" si="27"/>
        <v>Chủ nhật</v>
      </c>
      <c r="F364" s="2" t="str">
        <f t="shared" si="28"/>
        <v>INSERT INTO Master_Calendar (Date, Week, Month, Year, Holiday, XmlMeta) VALUES(N'2015-12-27', N'2015/52', N'2015/12', N'2015', N'Chủ nhật', N'&lt;Root&gt;&lt;/Root&gt;')</v>
      </c>
    </row>
    <row r="365" spans="1:6" x14ac:dyDescent="0.25">
      <c r="A365" s="7">
        <v>42366</v>
      </c>
      <c r="B365" t="str">
        <f t="shared" si="29"/>
        <v>2015/52</v>
      </c>
      <c r="C365" t="str">
        <f t="shared" si="25"/>
        <v>2015/12</v>
      </c>
      <c r="D365">
        <f t="shared" si="26"/>
        <v>2015</v>
      </c>
      <c r="E365" t="str">
        <f t="shared" si="27"/>
        <v/>
      </c>
      <c r="F365" s="2" t="str">
        <f t="shared" si="28"/>
        <v>INSERT INTO Master_Calendar (Date, Week, Month, Year, Holiday, XmlMeta) VALUES(N'2015-12-28', N'2015/52', N'2015/12', N'2015', N'', N'&lt;Root&gt;&lt;/Root&gt;')</v>
      </c>
    </row>
    <row r="366" spans="1:6" x14ac:dyDescent="0.25">
      <c r="A366" s="7">
        <v>42367</v>
      </c>
      <c r="B366" t="str">
        <f t="shared" si="29"/>
        <v>2015/52</v>
      </c>
      <c r="C366" t="str">
        <f t="shared" si="25"/>
        <v>2015/12</v>
      </c>
      <c r="D366">
        <f t="shared" si="26"/>
        <v>2015</v>
      </c>
      <c r="E366" t="str">
        <f t="shared" si="27"/>
        <v/>
      </c>
      <c r="F366" s="2" t="str">
        <f t="shared" si="28"/>
        <v>INSERT INTO Master_Calendar (Date, Week, Month, Year, Holiday, XmlMeta) VALUES(N'2015-12-29', N'2015/52', N'2015/12', N'2015', N'', N'&lt;Root&gt;&lt;/Root&gt;')</v>
      </c>
    </row>
    <row r="367" spans="1:6" x14ac:dyDescent="0.25">
      <c r="A367" s="7">
        <v>42368</v>
      </c>
      <c r="B367" t="str">
        <f t="shared" si="29"/>
        <v>2015/52</v>
      </c>
      <c r="C367" t="str">
        <f t="shared" si="25"/>
        <v>2015/12</v>
      </c>
      <c r="D367">
        <f t="shared" si="26"/>
        <v>2015</v>
      </c>
      <c r="E367" t="str">
        <f t="shared" si="27"/>
        <v/>
      </c>
      <c r="F367" s="2" t="str">
        <f t="shared" si="28"/>
        <v>INSERT INTO Master_Calendar (Date, Week, Month, Year, Holiday, XmlMeta) VALUES(N'2015-12-30', N'2015/52', N'2015/12', N'2015', N'', N'&lt;Root&gt;&lt;/Root&gt;')</v>
      </c>
    </row>
    <row r="368" spans="1:6" x14ac:dyDescent="0.25">
      <c r="A368" s="7">
        <v>42369</v>
      </c>
      <c r="B368" t="str">
        <f t="shared" si="29"/>
        <v>2015/52</v>
      </c>
      <c r="C368" t="str">
        <f t="shared" si="25"/>
        <v>2015/12</v>
      </c>
      <c r="D368">
        <f t="shared" si="26"/>
        <v>2015</v>
      </c>
      <c r="E368" t="str">
        <f t="shared" si="27"/>
        <v/>
      </c>
      <c r="F368" s="2" t="str">
        <f t="shared" si="28"/>
        <v>INSERT INTO Master_Calendar (Date, Week, Month, Year, Holiday, XmlMeta) VALUES(N'2015-12-31', N'2015/52', N'2015/12', N'2015', N'', N'&lt;Root&gt;&lt;/Root&gt;')</v>
      </c>
    </row>
    <row r="369" spans="1:6" x14ac:dyDescent="0.25">
      <c r="A369" s="7">
        <v>42370</v>
      </c>
      <c r="B369" t="str">
        <f t="shared" si="29"/>
        <v>2016/01</v>
      </c>
      <c r="C369" t="str">
        <f t="shared" si="25"/>
        <v>2016/01</v>
      </c>
      <c r="D369">
        <f t="shared" si="26"/>
        <v>2016</v>
      </c>
      <c r="E369" t="str">
        <f t="shared" si="27"/>
        <v/>
      </c>
      <c r="F369" s="2" t="str">
        <f t="shared" si="28"/>
        <v>INSERT INTO Master_Calendar (Date, Week, Month, Year, Holiday, XmlMeta) VALUES(N'2016-01-01', N'2016/01', N'2016/01', N'2016', N'', N'&lt;Root&gt;&lt;/Root&gt;')</v>
      </c>
    </row>
    <row r="370" spans="1:6" x14ac:dyDescent="0.25">
      <c r="A370" s="7">
        <v>42371</v>
      </c>
      <c r="B370" t="str">
        <f t="shared" si="29"/>
        <v>2016/01</v>
      </c>
      <c r="C370" t="str">
        <f t="shared" si="25"/>
        <v>2016/01</v>
      </c>
      <c r="D370">
        <f t="shared" si="26"/>
        <v>2016</v>
      </c>
      <c r="E370" t="str">
        <f t="shared" si="27"/>
        <v>Thứ 7</v>
      </c>
      <c r="F370" s="2" t="str">
        <f t="shared" si="28"/>
        <v>INSERT INTO Master_Calendar (Date, Week, Month, Year, Holiday, XmlMeta) VALUES(N'2016-01-02', N'2016/01', N'2016/01', N'2016', N'Thứ 7', N'&lt;Root&gt;&lt;/Root&gt;')</v>
      </c>
    </row>
    <row r="371" spans="1:6" x14ac:dyDescent="0.25">
      <c r="A371" s="7">
        <v>42372</v>
      </c>
      <c r="B371" t="str">
        <f t="shared" si="29"/>
        <v>2016/01</v>
      </c>
      <c r="C371" t="str">
        <f t="shared" si="25"/>
        <v>2016/01</v>
      </c>
      <c r="D371">
        <f t="shared" si="26"/>
        <v>2016</v>
      </c>
      <c r="E371" t="str">
        <f t="shared" si="27"/>
        <v>Chủ nhật</v>
      </c>
      <c r="F371" s="2" t="str">
        <f t="shared" si="28"/>
        <v>INSERT INTO Master_Calendar (Date, Week, Month, Year, Holiday, XmlMeta) VALUES(N'2016-01-03', N'2016/01', N'2016/01', N'2016', N'Chủ nhật', N'&lt;Root&gt;&lt;/Root&gt;')</v>
      </c>
    </row>
    <row r="372" spans="1:6" x14ac:dyDescent="0.25">
      <c r="A372" s="7">
        <v>42373</v>
      </c>
      <c r="B372" t="str">
        <f t="shared" si="29"/>
        <v>2016/02</v>
      </c>
      <c r="C372" t="str">
        <f t="shared" si="25"/>
        <v>2016/01</v>
      </c>
      <c r="D372">
        <f t="shared" si="26"/>
        <v>2016</v>
      </c>
      <c r="E372" t="str">
        <f t="shared" si="27"/>
        <v/>
      </c>
      <c r="F372" s="2" t="str">
        <f t="shared" si="28"/>
        <v>INSERT INTO Master_Calendar (Date, Week, Month, Year, Holiday, XmlMeta) VALUES(N'2016-01-04', N'2016/02', N'2016/01', N'2016', N'', N'&lt;Root&gt;&lt;/Root&gt;')</v>
      </c>
    </row>
    <row r="373" spans="1:6" x14ac:dyDescent="0.25">
      <c r="A373" s="7">
        <v>42374</v>
      </c>
      <c r="B373" t="str">
        <f t="shared" si="29"/>
        <v>2016/02</v>
      </c>
      <c r="C373" t="str">
        <f t="shared" si="25"/>
        <v>2016/01</v>
      </c>
      <c r="D373">
        <f t="shared" si="26"/>
        <v>2016</v>
      </c>
      <c r="E373" t="str">
        <f t="shared" si="27"/>
        <v/>
      </c>
      <c r="F373" s="2" t="str">
        <f t="shared" si="28"/>
        <v>INSERT INTO Master_Calendar (Date, Week, Month, Year, Holiday, XmlMeta) VALUES(N'2016-01-05', N'2016/02', N'2016/01', N'2016', N'', N'&lt;Root&gt;&lt;/Root&gt;')</v>
      </c>
    </row>
    <row r="374" spans="1:6" x14ac:dyDescent="0.25">
      <c r="A374" s="7">
        <v>42375</v>
      </c>
      <c r="B374" t="str">
        <f t="shared" si="29"/>
        <v>2016/02</v>
      </c>
      <c r="C374" t="str">
        <f t="shared" si="25"/>
        <v>2016/01</v>
      </c>
      <c r="D374">
        <f t="shared" si="26"/>
        <v>2016</v>
      </c>
      <c r="E374" t="str">
        <f t="shared" si="27"/>
        <v/>
      </c>
      <c r="F374" s="2" t="str">
        <f t="shared" si="28"/>
        <v>INSERT INTO Master_Calendar (Date, Week, Month, Year, Holiday, XmlMeta) VALUES(N'2016-01-06', N'2016/02', N'2016/01', N'2016', N'', N'&lt;Root&gt;&lt;/Root&gt;')</v>
      </c>
    </row>
    <row r="375" spans="1:6" x14ac:dyDescent="0.25">
      <c r="A375" s="7">
        <v>42376</v>
      </c>
      <c r="B375" t="str">
        <f t="shared" si="29"/>
        <v>2016/02</v>
      </c>
      <c r="C375" t="str">
        <f t="shared" si="25"/>
        <v>2016/01</v>
      </c>
      <c r="D375">
        <f t="shared" si="26"/>
        <v>2016</v>
      </c>
      <c r="E375" t="str">
        <f t="shared" si="27"/>
        <v/>
      </c>
      <c r="F375" s="2" t="str">
        <f t="shared" si="28"/>
        <v>INSERT INTO Master_Calendar (Date, Week, Month, Year, Holiday, XmlMeta) VALUES(N'2016-01-07', N'2016/02', N'2016/01', N'2016', N'', N'&lt;Root&gt;&lt;/Root&gt;')</v>
      </c>
    </row>
    <row r="376" spans="1:6" x14ac:dyDescent="0.25">
      <c r="A376" s="7">
        <v>42377</v>
      </c>
      <c r="B376" t="str">
        <f t="shared" si="29"/>
        <v>2016/02</v>
      </c>
      <c r="C376" t="str">
        <f t="shared" si="25"/>
        <v>2016/01</v>
      </c>
      <c r="D376">
        <f t="shared" si="26"/>
        <v>2016</v>
      </c>
      <c r="E376" t="str">
        <f t="shared" si="27"/>
        <v/>
      </c>
      <c r="F376" s="2" t="str">
        <f t="shared" si="28"/>
        <v>INSERT INTO Master_Calendar (Date, Week, Month, Year, Holiday, XmlMeta) VALUES(N'2016-01-08', N'2016/02', N'2016/01', N'2016', N'', N'&lt;Root&gt;&lt;/Root&gt;')</v>
      </c>
    </row>
    <row r="377" spans="1:6" x14ac:dyDescent="0.25">
      <c r="A377" s="7">
        <v>42378</v>
      </c>
      <c r="B377" t="str">
        <f t="shared" si="29"/>
        <v>2016/02</v>
      </c>
      <c r="C377" t="str">
        <f t="shared" si="25"/>
        <v>2016/01</v>
      </c>
      <c r="D377">
        <f t="shared" si="26"/>
        <v>2016</v>
      </c>
      <c r="E377" t="str">
        <f t="shared" si="27"/>
        <v>Thứ 7</v>
      </c>
      <c r="F377" s="2" t="str">
        <f t="shared" si="28"/>
        <v>INSERT INTO Master_Calendar (Date, Week, Month, Year, Holiday, XmlMeta) VALUES(N'2016-01-09', N'2016/02', N'2016/01', N'2016', N'Thứ 7', N'&lt;Root&gt;&lt;/Root&gt;')</v>
      </c>
    </row>
    <row r="378" spans="1:6" x14ac:dyDescent="0.25">
      <c r="A378" s="7">
        <v>42379</v>
      </c>
      <c r="B378" t="str">
        <f t="shared" si="29"/>
        <v>2016/02</v>
      </c>
      <c r="C378" t="str">
        <f t="shared" si="25"/>
        <v>2016/01</v>
      </c>
      <c r="D378">
        <f t="shared" si="26"/>
        <v>2016</v>
      </c>
      <c r="E378" t="str">
        <f t="shared" si="27"/>
        <v>Chủ nhật</v>
      </c>
      <c r="F378" s="2" t="str">
        <f t="shared" si="28"/>
        <v>INSERT INTO Master_Calendar (Date, Week, Month, Year, Holiday, XmlMeta) VALUES(N'2016-01-10', N'2016/02', N'2016/01', N'2016', N'Chủ nhật', N'&lt;Root&gt;&lt;/Root&gt;')</v>
      </c>
    </row>
    <row r="379" spans="1:6" x14ac:dyDescent="0.25">
      <c r="A379" s="7">
        <v>42380</v>
      </c>
      <c r="B379" t="str">
        <f t="shared" si="29"/>
        <v>2016/03</v>
      </c>
      <c r="C379" t="str">
        <f t="shared" si="25"/>
        <v>2016/01</v>
      </c>
      <c r="D379">
        <f t="shared" si="26"/>
        <v>2016</v>
      </c>
      <c r="E379" t="str">
        <f t="shared" si="27"/>
        <v/>
      </c>
      <c r="F379" s="2" t="str">
        <f t="shared" si="28"/>
        <v>INSERT INTO Master_Calendar (Date, Week, Month, Year, Holiday, XmlMeta) VALUES(N'2016-01-11', N'2016/03', N'2016/01', N'2016', N'', N'&lt;Root&gt;&lt;/Root&gt;')</v>
      </c>
    </row>
    <row r="380" spans="1:6" x14ac:dyDescent="0.25">
      <c r="A380" s="7">
        <v>42381</v>
      </c>
      <c r="B380" t="str">
        <f t="shared" si="29"/>
        <v>2016/03</v>
      </c>
      <c r="C380" t="str">
        <f t="shared" si="25"/>
        <v>2016/01</v>
      </c>
      <c r="D380">
        <f t="shared" si="26"/>
        <v>2016</v>
      </c>
      <c r="E380" t="str">
        <f t="shared" si="27"/>
        <v/>
      </c>
      <c r="F380" s="2" t="str">
        <f t="shared" si="28"/>
        <v>INSERT INTO Master_Calendar (Date, Week, Month, Year, Holiday, XmlMeta) VALUES(N'2016-01-12', N'2016/03', N'2016/01', N'2016', N'', N'&lt;Root&gt;&lt;/Root&gt;')</v>
      </c>
    </row>
    <row r="381" spans="1:6" x14ac:dyDescent="0.25">
      <c r="A381" s="7">
        <v>42382</v>
      </c>
      <c r="B381" t="str">
        <f t="shared" si="29"/>
        <v>2016/03</v>
      </c>
      <c r="C381" t="str">
        <f t="shared" si="25"/>
        <v>2016/01</v>
      </c>
      <c r="D381">
        <f t="shared" si="26"/>
        <v>2016</v>
      </c>
      <c r="E381" t="str">
        <f t="shared" si="27"/>
        <v/>
      </c>
      <c r="F381" s="2" t="str">
        <f t="shared" si="28"/>
        <v>INSERT INTO Master_Calendar (Date, Week, Month, Year, Holiday, XmlMeta) VALUES(N'2016-01-13', N'2016/03', N'2016/01', N'2016', N'', N'&lt;Root&gt;&lt;/Root&gt;')</v>
      </c>
    </row>
    <row r="382" spans="1:6" x14ac:dyDescent="0.25">
      <c r="A382" s="7">
        <v>42383</v>
      </c>
      <c r="B382" t="str">
        <f t="shared" si="29"/>
        <v>2016/03</v>
      </c>
      <c r="C382" t="str">
        <f t="shared" si="25"/>
        <v>2016/01</v>
      </c>
      <c r="D382">
        <f t="shared" si="26"/>
        <v>2016</v>
      </c>
      <c r="E382" t="str">
        <f t="shared" si="27"/>
        <v/>
      </c>
      <c r="F382" s="2" t="str">
        <f t="shared" si="28"/>
        <v>INSERT INTO Master_Calendar (Date, Week, Month, Year, Holiday, XmlMeta) VALUES(N'2016-01-14', N'2016/03', N'2016/01', N'2016', N'', N'&lt;Root&gt;&lt;/Root&gt;')</v>
      </c>
    </row>
    <row r="383" spans="1:6" x14ac:dyDescent="0.25">
      <c r="A383" s="7">
        <v>42384</v>
      </c>
      <c r="B383" t="str">
        <f t="shared" si="29"/>
        <v>2016/03</v>
      </c>
      <c r="C383" t="str">
        <f t="shared" si="25"/>
        <v>2016/01</v>
      </c>
      <c r="D383">
        <f t="shared" si="26"/>
        <v>2016</v>
      </c>
      <c r="E383" t="str">
        <f t="shared" si="27"/>
        <v/>
      </c>
      <c r="F383" s="2" t="str">
        <f t="shared" si="28"/>
        <v>INSERT INTO Master_Calendar (Date, Week, Month, Year, Holiday, XmlMeta) VALUES(N'2016-01-15', N'2016/03', N'2016/01', N'2016', N'', N'&lt;Root&gt;&lt;/Root&gt;')</v>
      </c>
    </row>
    <row r="384" spans="1:6" x14ac:dyDescent="0.25">
      <c r="A384" s="7">
        <v>42385</v>
      </c>
      <c r="B384" t="str">
        <f t="shared" si="29"/>
        <v>2016/03</v>
      </c>
      <c r="C384" t="str">
        <f t="shared" si="25"/>
        <v>2016/01</v>
      </c>
      <c r="D384">
        <f t="shared" si="26"/>
        <v>2016</v>
      </c>
      <c r="E384" t="str">
        <f t="shared" si="27"/>
        <v>Thứ 7</v>
      </c>
      <c r="F384" s="2" t="str">
        <f t="shared" si="28"/>
        <v>INSERT INTO Master_Calendar (Date, Week, Month, Year, Holiday, XmlMeta) VALUES(N'2016-01-16', N'2016/03', N'2016/01', N'2016', N'Thứ 7', N'&lt;Root&gt;&lt;/Root&gt;')</v>
      </c>
    </row>
    <row r="385" spans="1:6" x14ac:dyDescent="0.25">
      <c r="A385" s="7">
        <v>42386</v>
      </c>
      <c r="B385" t="str">
        <f t="shared" si="29"/>
        <v>2016/03</v>
      </c>
      <c r="C385" t="str">
        <f t="shared" si="25"/>
        <v>2016/01</v>
      </c>
      <c r="D385">
        <f t="shared" si="26"/>
        <v>2016</v>
      </c>
      <c r="E385" t="str">
        <f t="shared" si="27"/>
        <v>Chủ nhật</v>
      </c>
      <c r="F385" s="2" t="str">
        <f t="shared" si="28"/>
        <v>INSERT INTO Master_Calendar (Date, Week, Month, Year, Holiday, XmlMeta) VALUES(N'2016-01-17', N'2016/03', N'2016/01', N'2016', N'Chủ nhật', N'&lt;Root&gt;&lt;/Root&gt;')</v>
      </c>
    </row>
    <row r="386" spans="1:6" x14ac:dyDescent="0.25">
      <c r="A386" s="7">
        <v>42387</v>
      </c>
      <c r="B386" t="str">
        <f t="shared" si="29"/>
        <v>2016/04</v>
      </c>
      <c r="C386" t="str">
        <f t="shared" si="25"/>
        <v>2016/01</v>
      </c>
      <c r="D386">
        <f t="shared" si="26"/>
        <v>2016</v>
      </c>
      <c r="E386" t="str">
        <f t="shared" si="27"/>
        <v/>
      </c>
      <c r="F386" s="2" t="str">
        <f t="shared" si="28"/>
        <v>INSERT INTO Master_Calendar (Date, Week, Month, Year, Holiday, XmlMeta) VALUES(N'2016-01-18', N'2016/04', N'2016/01', N'2016', N'', N'&lt;Root&gt;&lt;/Root&gt;')</v>
      </c>
    </row>
    <row r="387" spans="1:6" x14ac:dyDescent="0.25">
      <c r="A387" s="7">
        <v>42388</v>
      </c>
      <c r="B387" t="str">
        <f t="shared" si="29"/>
        <v>2016/04</v>
      </c>
      <c r="C387" t="str">
        <f t="shared" si="25"/>
        <v>2016/01</v>
      </c>
      <c r="D387">
        <f t="shared" si="26"/>
        <v>2016</v>
      </c>
      <c r="E387" t="str">
        <f t="shared" si="27"/>
        <v/>
      </c>
      <c r="F387" s="2" t="str">
        <f t="shared" si="28"/>
        <v>INSERT INTO Master_Calendar (Date, Week, Month, Year, Holiday, XmlMeta) VALUES(N'2016-01-19', N'2016/04', N'2016/01', N'2016', N'', N'&lt;Root&gt;&lt;/Root&gt;')</v>
      </c>
    </row>
    <row r="388" spans="1:6" x14ac:dyDescent="0.25">
      <c r="A388" s="7">
        <v>42389</v>
      </c>
      <c r="B388" t="str">
        <f t="shared" si="29"/>
        <v>2016/04</v>
      </c>
      <c r="C388" t="str">
        <f t="shared" si="25"/>
        <v>2016/01</v>
      </c>
      <c r="D388">
        <f t="shared" si="26"/>
        <v>2016</v>
      </c>
      <c r="E388" t="str">
        <f t="shared" si="27"/>
        <v/>
      </c>
      <c r="F388" s="2" t="str">
        <f t="shared" si="28"/>
        <v>INSERT INTO Master_Calendar (Date, Week, Month, Year, Holiday, XmlMeta) VALUES(N'2016-01-20', N'2016/04', N'2016/01', N'2016', N'', N'&lt;Root&gt;&lt;/Root&gt;')</v>
      </c>
    </row>
    <row r="389" spans="1:6" x14ac:dyDescent="0.25">
      <c r="A389" s="7">
        <v>42390</v>
      </c>
      <c r="B389" t="str">
        <f t="shared" si="29"/>
        <v>2016/04</v>
      </c>
      <c r="C389" t="str">
        <f t="shared" ref="C389:C452" si="30">YEAR(A389)&amp;"/"&amp;RIGHT("00"&amp;MONTH(A389),2)</f>
        <v>2016/01</v>
      </c>
      <c r="D389">
        <f t="shared" ref="D389:D452" si="31">YEAR(A389)</f>
        <v>2016</v>
      </c>
      <c r="E389" t="str">
        <f t="shared" ref="E389:E452" si="32">IF(WEEKDAY(A389)=1, "Chủ nhật", IF(WEEKDAY(A389)=7, "Thứ 7", ""))</f>
        <v/>
      </c>
      <c r="F389" s="2" t="str">
        <f t="shared" ref="F389:F452" si="33">"INSERT INTO "&amp;$B$1&amp;" ("&amp;$A$3&amp;", "&amp;$B$3&amp;", "&amp;$C$3&amp;", "&amp;$D$3&amp;", "&amp;$E$3&amp;", XmlMeta) VALUES(N'"&amp;TEXT(A389, "yyyy-MM-dd")&amp;"', N'"&amp;B389&amp;"', N'"&amp;C389&amp;"', N'"&amp;D389&amp;"', N'"&amp;E389&amp;"', N'&lt;Root&gt;&lt;/Root&gt;')"</f>
        <v>INSERT INTO Master_Calendar (Date, Week, Month, Year, Holiday, XmlMeta) VALUES(N'2016-01-21', N'2016/04', N'2016/01', N'2016', N'', N'&lt;Root&gt;&lt;/Root&gt;')</v>
      </c>
    </row>
    <row r="390" spans="1:6" x14ac:dyDescent="0.25">
      <c r="A390" s="7">
        <v>42391</v>
      </c>
      <c r="B390" t="str">
        <f t="shared" ref="B390:B453" si="34">YEAR(A390) &amp; "/" &amp; RIGHT("00" &amp; IF(WEEKNUM(A390, 2) &gt; 52, 52, WEEKNUM(A390, 2)), 2)</f>
        <v>2016/04</v>
      </c>
      <c r="C390" t="str">
        <f t="shared" si="30"/>
        <v>2016/01</v>
      </c>
      <c r="D390">
        <f t="shared" si="31"/>
        <v>2016</v>
      </c>
      <c r="E390" t="str">
        <f t="shared" si="32"/>
        <v/>
      </c>
      <c r="F390" s="2" t="str">
        <f t="shared" si="33"/>
        <v>INSERT INTO Master_Calendar (Date, Week, Month, Year, Holiday, XmlMeta) VALUES(N'2016-01-22', N'2016/04', N'2016/01', N'2016', N'', N'&lt;Root&gt;&lt;/Root&gt;')</v>
      </c>
    </row>
    <row r="391" spans="1:6" x14ac:dyDescent="0.25">
      <c r="A391" s="7">
        <v>42392</v>
      </c>
      <c r="B391" t="str">
        <f t="shared" si="34"/>
        <v>2016/04</v>
      </c>
      <c r="C391" t="str">
        <f t="shared" si="30"/>
        <v>2016/01</v>
      </c>
      <c r="D391">
        <f t="shared" si="31"/>
        <v>2016</v>
      </c>
      <c r="E391" t="str">
        <f t="shared" si="32"/>
        <v>Thứ 7</v>
      </c>
      <c r="F391" s="2" t="str">
        <f t="shared" si="33"/>
        <v>INSERT INTO Master_Calendar (Date, Week, Month, Year, Holiday, XmlMeta) VALUES(N'2016-01-23', N'2016/04', N'2016/01', N'2016', N'Thứ 7', N'&lt;Root&gt;&lt;/Root&gt;')</v>
      </c>
    </row>
    <row r="392" spans="1:6" x14ac:dyDescent="0.25">
      <c r="A392" s="7">
        <v>42393</v>
      </c>
      <c r="B392" t="str">
        <f t="shared" si="34"/>
        <v>2016/04</v>
      </c>
      <c r="C392" t="str">
        <f t="shared" si="30"/>
        <v>2016/01</v>
      </c>
      <c r="D392">
        <f t="shared" si="31"/>
        <v>2016</v>
      </c>
      <c r="E392" t="str">
        <f t="shared" si="32"/>
        <v>Chủ nhật</v>
      </c>
      <c r="F392" s="2" t="str">
        <f t="shared" si="33"/>
        <v>INSERT INTO Master_Calendar (Date, Week, Month, Year, Holiday, XmlMeta) VALUES(N'2016-01-24', N'2016/04', N'2016/01', N'2016', N'Chủ nhật', N'&lt;Root&gt;&lt;/Root&gt;')</v>
      </c>
    </row>
    <row r="393" spans="1:6" x14ac:dyDescent="0.25">
      <c r="A393" s="7">
        <v>42394</v>
      </c>
      <c r="B393" t="str">
        <f t="shared" si="34"/>
        <v>2016/05</v>
      </c>
      <c r="C393" t="str">
        <f t="shared" si="30"/>
        <v>2016/01</v>
      </c>
      <c r="D393">
        <f t="shared" si="31"/>
        <v>2016</v>
      </c>
      <c r="E393" t="str">
        <f t="shared" si="32"/>
        <v/>
      </c>
      <c r="F393" s="2" t="str">
        <f t="shared" si="33"/>
        <v>INSERT INTO Master_Calendar (Date, Week, Month, Year, Holiday, XmlMeta) VALUES(N'2016-01-25', N'2016/05', N'2016/01', N'2016', N'', N'&lt;Root&gt;&lt;/Root&gt;')</v>
      </c>
    </row>
    <row r="394" spans="1:6" x14ac:dyDescent="0.25">
      <c r="A394" s="7">
        <v>42395</v>
      </c>
      <c r="B394" t="str">
        <f t="shared" si="34"/>
        <v>2016/05</v>
      </c>
      <c r="C394" t="str">
        <f t="shared" si="30"/>
        <v>2016/01</v>
      </c>
      <c r="D394">
        <f t="shared" si="31"/>
        <v>2016</v>
      </c>
      <c r="E394" t="str">
        <f t="shared" si="32"/>
        <v/>
      </c>
      <c r="F394" s="2" t="str">
        <f t="shared" si="33"/>
        <v>INSERT INTO Master_Calendar (Date, Week, Month, Year, Holiday, XmlMeta) VALUES(N'2016-01-26', N'2016/05', N'2016/01', N'2016', N'', N'&lt;Root&gt;&lt;/Root&gt;')</v>
      </c>
    </row>
    <row r="395" spans="1:6" x14ac:dyDescent="0.25">
      <c r="A395" s="7">
        <v>42396</v>
      </c>
      <c r="B395" t="str">
        <f t="shared" si="34"/>
        <v>2016/05</v>
      </c>
      <c r="C395" t="str">
        <f t="shared" si="30"/>
        <v>2016/01</v>
      </c>
      <c r="D395">
        <f t="shared" si="31"/>
        <v>2016</v>
      </c>
      <c r="E395" t="str">
        <f t="shared" si="32"/>
        <v/>
      </c>
      <c r="F395" s="2" t="str">
        <f t="shared" si="33"/>
        <v>INSERT INTO Master_Calendar (Date, Week, Month, Year, Holiday, XmlMeta) VALUES(N'2016-01-27', N'2016/05', N'2016/01', N'2016', N'', N'&lt;Root&gt;&lt;/Root&gt;')</v>
      </c>
    </row>
    <row r="396" spans="1:6" x14ac:dyDescent="0.25">
      <c r="A396" s="7">
        <v>42397</v>
      </c>
      <c r="B396" t="str">
        <f t="shared" si="34"/>
        <v>2016/05</v>
      </c>
      <c r="C396" t="str">
        <f t="shared" si="30"/>
        <v>2016/01</v>
      </c>
      <c r="D396">
        <f t="shared" si="31"/>
        <v>2016</v>
      </c>
      <c r="E396" t="str">
        <f t="shared" si="32"/>
        <v/>
      </c>
      <c r="F396" s="2" t="str">
        <f t="shared" si="33"/>
        <v>INSERT INTO Master_Calendar (Date, Week, Month, Year, Holiday, XmlMeta) VALUES(N'2016-01-28', N'2016/05', N'2016/01', N'2016', N'', N'&lt;Root&gt;&lt;/Root&gt;')</v>
      </c>
    </row>
    <row r="397" spans="1:6" x14ac:dyDescent="0.25">
      <c r="A397" s="7">
        <v>42398</v>
      </c>
      <c r="B397" t="str">
        <f t="shared" si="34"/>
        <v>2016/05</v>
      </c>
      <c r="C397" t="str">
        <f t="shared" si="30"/>
        <v>2016/01</v>
      </c>
      <c r="D397">
        <f t="shared" si="31"/>
        <v>2016</v>
      </c>
      <c r="E397" t="str">
        <f t="shared" si="32"/>
        <v/>
      </c>
      <c r="F397" s="2" t="str">
        <f t="shared" si="33"/>
        <v>INSERT INTO Master_Calendar (Date, Week, Month, Year, Holiday, XmlMeta) VALUES(N'2016-01-29', N'2016/05', N'2016/01', N'2016', N'', N'&lt;Root&gt;&lt;/Root&gt;')</v>
      </c>
    </row>
    <row r="398" spans="1:6" x14ac:dyDescent="0.25">
      <c r="A398" s="7">
        <v>42399</v>
      </c>
      <c r="B398" t="str">
        <f t="shared" si="34"/>
        <v>2016/05</v>
      </c>
      <c r="C398" t="str">
        <f t="shared" si="30"/>
        <v>2016/01</v>
      </c>
      <c r="D398">
        <f t="shared" si="31"/>
        <v>2016</v>
      </c>
      <c r="E398" t="str">
        <f t="shared" si="32"/>
        <v>Thứ 7</v>
      </c>
      <c r="F398" s="2" t="str">
        <f t="shared" si="33"/>
        <v>INSERT INTO Master_Calendar (Date, Week, Month, Year, Holiday, XmlMeta) VALUES(N'2016-01-30', N'2016/05', N'2016/01', N'2016', N'Thứ 7', N'&lt;Root&gt;&lt;/Root&gt;')</v>
      </c>
    </row>
    <row r="399" spans="1:6" x14ac:dyDescent="0.25">
      <c r="A399" s="7">
        <v>42400</v>
      </c>
      <c r="B399" t="str">
        <f t="shared" si="34"/>
        <v>2016/05</v>
      </c>
      <c r="C399" t="str">
        <f t="shared" si="30"/>
        <v>2016/01</v>
      </c>
      <c r="D399">
        <f t="shared" si="31"/>
        <v>2016</v>
      </c>
      <c r="E399" t="str">
        <f t="shared" si="32"/>
        <v>Chủ nhật</v>
      </c>
      <c r="F399" s="2" t="str">
        <f t="shared" si="33"/>
        <v>INSERT INTO Master_Calendar (Date, Week, Month, Year, Holiday, XmlMeta) VALUES(N'2016-01-31', N'2016/05', N'2016/01', N'2016', N'Chủ nhật', N'&lt;Root&gt;&lt;/Root&gt;')</v>
      </c>
    </row>
    <row r="400" spans="1:6" x14ac:dyDescent="0.25">
      <c r="A400" s="7">
        <v>42401</v>
      </c>
      <c r="B400" t="str">
        <f t="shared" si="34"/>
        <v>2016/06</v>
      </c>
      <c r="C400" t="str">
        <f t="shared" si="30"/>
        <v>2016/02</v>
      </c>
      <c r="D400">
        <f t="shared" si="31"/>
        <v>2016</v>
      </c>
      <c r="E400" t="str">
        <f t="shared" si="32"/>
        <v/>
      </c>
      <c r="F400" s="2" t="str">
        <f t="shared" si="33"/>
        <v>INSERT INTO Master_Calendar (Date, Week, Month, Year, Holiday, XmlMeta) VALUES(N'2016-02-01', N'2016/06', N'2016/02', N'2016', N'', N'&lt;Root&gt;&lt;/Root&gt;')</v>
      </c>
    </row>
    <row r="401" spans="1:6" x14ac:dyDescent="0.25">
      <c r="A401" s="7">
        <v>42402</v>
      </c>
      <c r="B401" t="str">
        <f t="shared" si="34"/>
        <v>2016/06</v>
      </c>
      <c r="C401" t="str">
        <f t="shared" si="30"/>
        <v>2016/02</v>
      </c>
      <c r="D401">
        <f t="shared" si="31"/>
        <v>2016</v>
      </c>
      <c r="E401" t="str">
        <f t="shared" si="32"/>
        <v/>
      </c>
      <c r="F401" s="2" t="str">
        <f t="shared" si="33"/>
        <v>INSERT INTO Master_Calendar (Date, Week, Month, Year, Holiday, XmlMeta) VALUES(N'2016-02-02', N'2016/06', N'2016/02', N'2016', N'', N'&lt;Root&gt;&lt;/Root&gt;')</v>
      </c>
    </row>
    <row r="402" spans="1:6" x14ac:dyDescent="0.25">
      <c r="A402" s="7">
        <v>42403</v>
      </c>
      <c r="B402" t="str">
        <f t="shared" si="34"/>
        <v>2016/06</v>
      </c>
      <c r="C402" t="str">
        <f t="shared" si="30"/>
        <v>2016/02</v>
      </c>
      <c r="D402">
        <f t="shared" si="31"/>
        <v>2016</v>
      </c>
      <c r="E402" t="str">
        <f t="shared" si="32"/>
        <v/>
      </c>
      <c r="F402" s="2" t="str">
        <f t="shared" si="33"/>
        <v>INSERT INTO Master_Calendar (Date, Week, Month, Year, Holiday, XmlMeta) VALUES(N'2016-02-03', N'2016/06', N'2016/02', N'2016', N'', N'&lt;Root&gt;&lt;/Root&gt;')</v>
      </c>
    </row>
    <row r="403" spans="1:6" x14ac:dyDescent="0.25">
      <c r="A403" s="7">
        <v>42404</v>
      </c>
      <c r="B403" t="str">
        <f t="shared" si="34"/>
        <v>2016/06</v>
      </c>
      <c r="C403" t="str">
        <f t="shared" si="30"/>
        <v>2016/02</v>
      </c>
      <c r="D403">
        <f t="shared" si="31"/>
        <v>2016</v>
      </c>
      <c r="E403" t="str">
        <f t="shared" si="32"/>
        <v/>
      </c>
      <c r="F403" s="2" t="str">
        <f t="shared" si="33"/>
        <v>INSERT INTO Master_Calendar (Date, Week, Month, Year, Holiday, XmlMeta) VALUES(N'2016-02-04', N'2016/06', N'2016/02', N'2016', N'', N'&lt;Root&gt;&lt;/Root&gt;')</v>
      </c>
    </row>
    <row r="404" spans="1:6" x14ac:dyDescent="0.25">
      <c r="A404" s="7">
        <v>42405</v>
      </c>
      <c r="B404" t="str">
        <f t="shared" si="34"/>
        <v>2016/06</v>
      </c>
      <c r="C404" t="str">
        <f t="shared" si="30"/>
        <v>2016/02</v>
      </c>
      <c r="D404">
        <f t="shared" si="31"/>
        <v>2016</v>
      </c>
      <c r="E404" t="str">
        <f t="shared" si="32"/>
        <v/>
      </c>
      <c r="F404" s="2" t="str">
        <f t="shared" si="33"/>
        <v>INSERT INTO Master_Calendar (Date, Week, Month, Year, Holiday, XmlMeta) VALUES(N'2016-02-05', N'2016/06', N'2016/02', N'2016', N'', N'&lt;Root&gt;&lt;/Root&gt;')</v>
      </c>
    </row>
    <row r="405" spans="1:6" x14ac:dyDescent="0.25">
      <c r="A405" s="7">
        <v>42406</v>
      </c>
      <c r="B405" t="str">
        <f t="shared" si="34"/>
        <v>2016/06</v>
      </c>
      <c r="C405" t="str">
        <f t="shared" si="30"/>
        <v>2016/02</v>
      </c>
      <c r="D405">
        <f t="shared" si="31"/>
        <v>2016</v>
      </c>
      <c r="E405" t="str">
        <f t="shared" si="32"/>
        <v>Thứ 7</v>
      </c>
      <c r="F405" s="2" t="str">
        <f t="shared" si="33"/>
        <v>INSERT INTO Master_Calendar (Date, Week, Month, Year, Holiday, XmlMeta) VALUES(N'2016-02-06', N'2016/06', N'2016/02', N'2016', N'Thứ 7', N'&lt;Root&gt;&lt;/Root&gt;')</v>
      </c>
    </row>
    <row r="406" spans="1:6" x14ac:dyDescent="0.25">
      <c r="A406" s="7">
        <v>42407</v>
      </c>
      <c r="B406" t="str">
        <f t="shared" si="34"/>
        <v>2016/06</v>
      </c>
      <c r="C406" t="str">
        <f t="shared" si="30"/>
        <v>2016/02</v>
      </c>
      <c r="D406">
        <f t="shared" si="31"/>
        <v>2016</v>
      </c>
      <c r="E406" t="str">
        <f t="shared" si="32"/>
        <v>Chủ nhật</v>
      </c>
      <c r="F406" s="2" t="str">
        <f t="shared" si="33"/>
        <v>INSERT INTO Master_Calendar (Date, Week, Month, Year, Holiday, XmlMeta) VALUES(N'2016-02-07', N'2016/06', N'2016/02', N'2016', N'Chủ nhật', N'&lt;Root&gt;&lt;/Root&gt;')</v>
      </c>
    </row>
    <row r="407" spans="1:6" x14ac:dyDescent="0.25">
      <c r="A407" s="7">
        <v>42408</v>
      </c>
      <c r="B407" t="str">
        <f t="shared" si="34"/>
        <v>2016/07</v>
      </c>
      <c r="C407" t="str">
        <f t="shared" si="30"/>
        <v>2016/02</v>
      </c>
      <c r="D407">
        <f t="shared" si="31"/>
        <v>2016</v>
      </c>
      <c r="E407" t="str">
        <f t="shared" si="32"/>
        <v/>
      </c>
      <c r="F407" s="2" t="str">
        <f t="shared" si="33"/>
        <v>INSERT INTO Master_Calendar (Date, Week, Month, Year, Holiday, XmlMeta) VALUES(N'2016-02-08', N'2016/07', N'2016/02', N'2016', N'', N'&lt;Root&gt;&lt;/Root&gt;')</v>
      </c>
    </row>
    <row r="408" spans="1:6" x14ac:dyDescent="0.25">
      <c r="A408" s="7">
        <v>42409</v>
      </c>
      <c r="B408" t="str">
        <f t="shared" si="34"/>
        <v>2016/07</v>
      </c>
      <c r="C408" t="str">
        <f t="shared" si="30"/>
        <v>2016/02</v>
      </c>
      <c r="D408">
        <f t="shared" si="31"/>
        <v>2016</v>
      </c>
      <c r="E408" t="str">
        <f t="shared" si="32"/>
        <v/>
      </c>
      <c r="F408" s="2" t="str">
        <f t="shared" si="33"/>
        <v>INSERT INTO Master_Calendar (Date, Week, Month, Year, Holiday, XmlMeta) VALUES(N'2016-02-09', N'2016/07', N'2016/02', N'2016', N'', N'&lt;Root&gt;&lt;/Root&gt;')</v>
      </c>
    </row>
    <row r="409" spans="1:6" x14ac:dyDescent="0.25">
      <c r="A409" s="7">
        <v>42410</v>
      </c>
      <c r="B409" t="str">
        <f t="shared" si="34"/>
        <v>2016/07</v>
      </c>
      <c r="C409" t="str">
        <f t="shared" si="30"/>
        <v>2016/02</v>
      </c>
      <c r="D409">
        <f t="shared" si="31"/>
        <v>2016</v>
      </c>
      <c r="E409" t="str">
        <f t="shared" si="32"/>
        <v/>
      </c>
      <c r="F409" s="2" t="str">
        <f t="shared" si="33"/>
        <v>INSERT INTO Master_Calendar (Date, Week, Month, Year, Holiday, XmlMeta) VALUES(N'2016-02-10', N'2016/07', N'2016/02', N'2016', N'', N'&lt;Root&gt;&lt;/Root&gt;')</v>
      </c>
    </row>
    <row r="410" spans="1:6" x14ac:dyDescent="0.25">
      <c r="A410" s="7">
        <v>42411</v>
      </c>
      <c r="B410" t="str">
        <f t="shared" si="34"/>
        <v>2016/07</v>
      </c>
      <c r="C410" t="str">
        <f t="shared" si="30"/>
        <v>2016/02</v>
      </c>
      <c r="D410">
        <f t="shared" si="31"/>
        <v>2016</v>
      </c>
      <c r="E410" t="str">
        <f t="shared" si="32"/>
        <v/>
      </c>
      <c r="F410" s="2" t="str">
        <f t="shared" si="33"/>
        <v>INSERT INTO Master_Calendar (Date, Week, Month, Year, Holiday, XmlMeta) VALUES(N'2016-02-11', N'2016/07', N'2016/02', N'2016', N'', N'&lt;Root&gt;&lt;/Root&gt;')</v>
      </c>
    </row>
    <row r="411" spans="1:6" x14ac:dyDescent="0.25">
      <c r="A411" s="7">
        <v>42412</v>
      </c>
      <c r="B411" t="str">
        <f t="shared" si="34"/>
        <v>2016/07</v>
      </c>
      <c r="C411" t="str">
        <f t="shared" si="30"/>
        <v>2016/02</v>
      </c>
      <c r="D411">
        <f t="shared" si="31"/>
        <v>2016</v>
      </c>
      <c r="E411" t="str">
        <f t="shared" si="32"/>
        <v/>
      </c>
      <c r="F411" s="2" t="str">
        <f t="shared" si="33"/>
        <v>INSERT INTO Master_Calendar (Date, Week, Month, Year, Holiday, XmlMeta) VALUES(N'2016-02-12', N'2016/07', N'2016/02', N'2016', N'', N'&lt;Root&gt;&lt;/Root&gt;')</v>
      </c>
    </row>
    <row r="412" spans="1:6" x14ac:dyDescent="0.25">
      <c r="A412" s="7">
        <v>42413</v>
      </c>
      <c r="B412" t="str">
        <f t="shared" si="34"/>
        <v>2016/07</v>
      </c>
      <c r="C412" t="str">
        <f t="shared" si="30"/>
        <v>2016/02</v>
      </c>
      <c r="D412">
        <f t="shared" si="31"/>
        <v>2016</v>
      </c>
      <c r="E412" t="str">
        <f t="shared" si="32"/>
        <v>Thứ 7</v>
      </c>
      <c r="F412" s="2" t="str">
        <f t="shared" si="33"/>
        <v>INSERT INTO Master_Calendar (Date, Week, Month, Year, Holiday, XmlMeta) VALUES(N'2016-02-13', N'2016/07', N'2016/02', N'2016', N'Thứ 7', N'&lt;Root&gt;&lt;/Root&gt;')</v>
      </c>
    </row>
    <row r="413" spans="1:6" x14ac:dyDescent="0.25">
      <c r="A413" s="7">
        <v>42414</v>
      </c>
      <c r="B413" t="str">
        <f t="shared" si="34"/>
        <v>2016/07</v>
      </c>
      <c r="C413" t="str">
        <f t="shared" si="30"/>
        <v>2016/02</v>
      </c>
      <c r="D413">
        <f t="shared" si="31"/>
        <v>2016</v>
      </c>
      <c r="E413" t="str">
        <f t="shared" si="32"/>
        <v>Chủ nhật</v>
      </c>
      <c r="F413" s="2" t="str">
        <f t="shared" si="33"/>
        <v>INSERT INTO Master_Calendar (Date, Week, Month, Year, Holiday, XmlMeta) VALUES(N'2016-02-14', N'2016/07', N'2016/02', N'2016', N'Chủ nhật', N'&lt;Root&gt;&lt;/Root&gt;')</v>
      </c>
    </row>
    <row r="414" spans="1:6" x14ac:dyDescent="0.25">
      <c r="A414" s="7">
        <v>42415</v>
      </c>
      <c r="B414" t="str">
        <f t="shared" si="34"/>
        <v>2016/08</v>
      </c>
      <c r="C414" t="str">
        <f t="shared" si="30"/>
        <v>2016/02</v>
      </c>
      <c r="D414">
        <f t="shared" si="31"/>
        <v>2016</v>
      </c>
      <c r="E414" t="str">
        <f t="shared" si="32"/>
        <v/>
      </c>
      <c r="F414" s="2" t="str">
        <f t="shared" si="33"/>
        <v>INSERT INTO Master_Calendar (Date, Week, Month, Year, Holiday, XmlMeta) VALUES(N'2016-02-15', N'2016/08', N'2016/02', N'2016', N'', N'&lt;Root&gt;&lt;/Root&gt;')</v>
      </c>
    </row>
    <row r="415" spans="1:6" x14ac:dyDescent="0.25">
      <c r="A415" s="7">
        <v>42416</v>
      </c>
      <c r="B415" t="str">
        <f t="shared" si="34"/>
        <v>2016/08</v>
      </c>
      <c r="C415" t="str">
        <f t="shared" si="30"/>
        <v>2016/02</v>
      </c>
      <c r="D415">
        <f t="shared" si="31"/>
        <v>2016</v>
      </c>
      <c r="E415" t="str">
        <f t="shared" si="32"/>
        <v/>
      </c>
      <c r="F415" s="2" t="str">
        <f t="shared" si="33"/>
        <v>INSERT INTO Master_Calendar (Date, Week, Month, Year, Holiday, XmlMeta) VALUES(N'2016-02-16', N'2016/08', N'2016/02', N'2016', N'', N'&lt;Root&gt;&lt;/Root&gt;')</v>
      </c>
    </row>
    <row r="416" spans="1:6" x14ac:dyDescent="0.25">
      <c r="A416" s="7">
        <v>42417</v>
      </c>
      <c r="B416" t="str">
        <f t="shared" si="34"/>
        <v>2016/08</v>
      </c>
      <c r="C416" t="str">
        <f t="shared" si="30"/>
        <v>2016/02</v>
      </c>
      <c r="D416">
        <f t="shared" si="31"/>
        <v>2016</v>
      </c>
      <c r="E416" t="str">
        <f t="shared" si="32"/>
        <v/>
      </c>
      <c r="F416" s="2" t="str">
        <f t="shared" si="33"/>
        <v>INSERT INTO Master_Calendar (Date, Week, Month, Year, Holiday, XmlMeta) VALUES(N'2016-02-17', N'2016/08', N'2016/02', N'2016', N'', N'&lt;Root&gt;&lt;/Root&gt;')</v>
      </c>
    </row>
    <row r="417" spans="1:6" x14ac:dyDescent="0.25">
      <c r="A417" s="7">
        <v>42418</v>
      </c>
      <c r="B417" t="str">
        <f t="shared" si="34"/>
        <v>2016/08</v>
      </c>
      <c r="C417" t="str">
        <f t="shared" si="30"/>
        <v>2016/02</v>
      </c>
      <c r="D417">
        <f t="shared" si="31"/>
        <v>2016</v>
      </c>
      <c r="E417" t="str">
        <f t="shared" si="32"/>
        <v/>
      </c>
      <c r="F417" s="2" t="str">
        <f t="shared" si="33"/>
        <v>INSERT INTO Master_Calendar (Date, Week, Month, Year, Holiday, XmlMeta) VALUES(N'2016-02-18', N'2016/08', N'2016/02', N'2016', N'', N'&lt;Root&gt;&lt;/Root&gt;')</v>
      </c>
    </row>
    <row r="418" spans="1:6" x14ac:dyDescent="0.25">
      <c r="A418" s="7">
        <v>42419</v>
      </c>
      <c r="B418" t="str">
        <f t="shared" si="34"/>
        <v>2016/08</v>
      </c>
      <c r="C418" t="str">
        <f t="shared" si="30"/>
        <v>2016/02</v>
      </c>
      <c r="D418">
        <f t="shared" si="31"/>
        <v>2016</v>
      </c>
      <c r="E418" t="str">
        <f t="shared" si="32"/>
        <v/>
      </c>
      <c r="F418" s="2" t="str">
        <f t="shared" si="33"/>
        <v>INSERT INTO Master_Calendar (Date, Week, Month, Year, Holiday, XmlMeta) VALUES(N'2016-02-19', N'2016/08', N'2016/02', N'2016', N'', N'&lt;Root&gt;&lt;/Root&gt;')</v>
      </c>
    </row>
    <row r="419" spans="1:6" x14ac:dyDescent="0.25">
      <c r="A419" s="7">
        <v>42420</v>
      </c>
      <c r="B419" t="str">
        <f t="shared" si="34"/>
        <v>2016/08</v>
      </c>
      <c r="C419" t="str">
        <f t="shared" si="30"/>
        <v>2016/02</v>
      </c>
      <c r="D419">
        <f t="shared" si="31"/>
        <v>2016</v>
      </c>
      <c r="E419" t="str">
        <f t="shared" si="32"/>
        <v>Thứ 7</v>
      </c>
      <c r="F419" s="2" t="str">
        <f t="shared" si="33"/>
        <v>INSERT INTO Master_Calendar (Date, Week, Month, Year, Holiday, XmlMeta) VALUES(N'2016-02-20', N'2016/08', N'2016/02', N'2016', N'Thứ 7', N'&lt;Root&gt;&lt;/Root&gt;')</v>
      </c>
    </row>
    <row r="420" spans="1:6" x14ac:dyDescent="0.25">
      <c r="A420" s="7">
        <v>42421</v>
      </c>
      <c r="B420" t="str">
        <f t="shared" si="34"/>
        <v>2016/08</v>
      </c>
      <c r="C420" t="str">
        <f t="shared" si="30"/>
        <v>2016/02</v>
      </c>
      <c r="D420">
        <f t="shared" si="31"/>
        <v>2016</v>
      </c>
      <c r="E420" t="str">
        <f t="shared" si="32"/>
        <v>Chủ nhật</v>
      </c>
      <c r="F420" s="2" t="str">
        <f t="shared" si="33"/>
        <v>INSERT INTO Master_Calendar (Date, Week, Month, Year, Holiday, XmlMeta) VALUES(N'2016-02-21', N'2016/08', N'2016/02', N'2016', N'Chủ nhật', N'&lt;Root&gt;&lt;/Root&gt;')</v>
      </c>
    </row>
    <row r="421" spans="1:6" x14ac:dyDescent="0.25">
      <c r="A421" s="7">
        <v>42422</v>
      </c>
      <c r="B421" t="str">
        <f t="shared" si="34"/>
        <v>2016/09</v>
      </c>
      <c r="C421" t="str">
        <f t="shared" si="30"/>
        <v>2016/02</v>
      </c>
      <c r="D421">
        <f t="shared" si="31"/>
        <v>2016</v>
      </c>
      <c r="E421" t="str">
        <f t="shared" si="32"/>
        <v/>
      </c>
      <c r="F421" s="2" t="str">
        <f t="shared" si="33"/>
        <v>INSERT INTO Master_Calendar (Date, Week, Month, Year, Holiday, XmlMeta) VALUES(N'2016-02-22', N'2016/09', N'2016/02', N'2016', N'', N'&lt;Root&gt;&lt;/Root&gt;')</v>
      </c>
    </row>
    <row r="422" spans="1:6" x14ac:dyDescent="0.25">
      <c r="A422" s="7">
        <v>42423</v>
      </c>
      <c r="B422" t="str">
        <f t="shared" si="34"/>
        <v>2016/09</v>
      </c>
      <c r="C422" t="str">
        <f t="shared" si="30"/>
        <v>2016/02</v>
      </c>
      <c r="D422">
        <f t="shared" si="31"/>
        <v>2016</v>
      </c>
      <c r="E422" t="str">
        <f t="shared" si="32"/>
        <v/>
      </c>
      <c r="F422" s="2" t="str">
        <f t="shared" si="33"/>
        <v>INSERT INTO Master_Calendar (Date, Week, Month, Year, Holiday, XmlMeta) VALUES(N'2016-02-23', N'2016/09', N'2016/02', N'2016', N'', N'&lt;Root&gt;&lt;/Root&gt;')</v>
      </c>
    </row>
    <row r="423" spans="1:6" x14ac:dyDescent="0.25">
      <c r="A423" s="7">
        <v>42424</v>
      </c>
      <c r="B423" t="str">
        <f t="shared" si="34"/>
        <v>2016/09</v>
      </c>
      <c r="C423" t="str">
        <f t="shared" si="30"/>
        <v>2016/02</v>
      </c>
      <c r="D423">
        <f t="shared" si="31"/>
        <v>2016</v>
      </c>
      <c r="E423" t="str">
        <f t="shared" si="32"/>
        <v/>
      </c>
      <c r="F423" s="2" t="str">
        <f t="shared" si="33"/>
        <v>INSERT INTO Master_Calendar (Date, Week, Month, Year, Holiday, XmlMeta) VALUES(N'2016-02-24', N'2016/09', N'2016/02', N'2016', N'', N'&lt;Root&gt;&lt;/Root&gt;')</v>
      </c>
    </row>
    <row r="424" spans="1:6" x14ac:dyDescent="0.25">
      <c r="A424" s="7">
        <v>42425</v>
      </c>
      <c r="B424" t="str">
        <f t="shared" si="34"/>
        <v>2016/09</v>
      </c>
      <c r="C424" t="str">
        <f t="shared" si="30"/>
        <v>2016/02</v>
      </c>
      <c r="D424">
        <f t="shared" si="31"/>
        <v>2016</v>
      </c>
      <c r="E424" t="str">
        <f t="shared" si="32"/>
        <v/>
      </c>
      <c r="F424" s="2" t="str">
        <f t="shared" si="33"/>
        <v>INSERT INTO Master_Calendar (Date, Week, Month, Year, Holiday, XmlMeta) VALUES(N'2016-02-25', N'2016/09', N'2016/02', N'2016', N'', N'&lt;Root&gt;&lt;/Root&gt;')</v>
      </c>
    </row>
    <row r="425" spans="1:6" x14ac:dyDescent="0.25">
      <c r="A425" s="7">
        <v>42426</v>
      </c>
      <c r="B425" t="str">
        <f t="shared" si="34"/>
        <v>2016/09</v>
      </c>
      <c r="C425" t="str">
        <f t="shared" si="30"/>
        <v>2016/02</v>
      </c>
      <c r="D425">
        <f t="shared" si="31"/>
        <v>2016</v>
      </c>
      <c r="E425" t="str">
        <f t="shared" si="32"/>
        <v/>
      </c>
      <c r="F425" s="2" t="str">
        <f t="shared" si="33"/>
        <v>INSERT INTO Master_Calendar (Date, Week, Month, Year, Holiday, XmlMeta) VALUES(N'2016-02-26', N'2016/09', N'2016/02', N'2016', N'', N'&lt;Root&gt;&lt;/Root&gt;')</v>
      </c>
    </row>
    <row r="426" spans="1:6" x14ac:dyDescent="0.25">
      <c r="A426" s="7">
        <v>42427</v>
      </c>
      <c r="B426" t="str">
        <f t="shared" si="34"/>
        <v>2016/09</v>
      </c>
      <c r="C426" t="str">
        <f t="shared" si="30"/>
        <v>2016/02</v>
      </c>
      <c r="D426">
        <f t="shared" si="31"/>
        <v>2016</v>
      </c>
      <c r="E426" t="str">
        <f t="shared" si="32"/>
        <v>Thứ 7</v>
      </c>
      <c r="F426" s="2" t="str">
        <f t="shared" si="33"/>
        <v>INSERT INTO Master_Calendar (Date, Week, Month, Year, Holiday, XmlMeta) VALUES(N'2016-02-27', N'2016/09', N'2016/02', N'2016', N'Thứ 7', N'&lt;Root&gt;&lt;/Root&gt;')</v>
      </c>
    </row>
    <row r="427" spans="1:6" x14ac:dyDescent="0.25">
      <c r="A427" s="7">
        <v>42428</v>
      </c>
      <c r="B427" t="str">
        <f t="shared" si="34"/>
        <v>2016/09</v>
      </c>
      <c r="C427" t="str">
        <f t="shared" si="30"/>
        <v>2016/02</v>
      </c>
      <c r="D427">
        <f t="shared" si="31"/>
        <v>2016</v>
      </c>
      <c r="E427" t="str">
        <f t="shared" si="32"/>
        <v>Chủ nhật</v>
      </c>
      <c r="F427" s="2" t="str">
        <f t="shared" si="33"/>
        <v>INSERT INTO Master_Calendar (Date, Week, Month, Year, Holiday, XmlMeta) VALUES(N'2016-02-28', N'2016/09', N'2016/02', N'2016', N'Chủ nhật', N'&lt;Root&gt;&lt;/Root&gt;')</v>
      </c>
    </row>
    <row r="428" spans="1:6" x14ac:dyDescent="0.25">
      <c r="A428" s="7">
        <v>42429</v>
      </c>
      <c r="B428" t="str">
        <f t="shared" si="34"/>
        <v>2016/10</v>
      </c>
      <c r="C428" t="str">
        <f t="shared" si="30"/>
        <v>2016/02</v>
      </c>
      <c r="D428">
        <f t="shared" si="31"/>
        <v>2016</v>
      </c>
      <c r="E428" t="str">
        <f t="shared" si="32"/>
        <v/>
      </c>
      <c r="F428" s="2" t="str">
        <f t="shared" si="33"/>
        <v>INSERT INTO Master_Calendar (Date, Week, Month, Year, Holiday, XmlMeta) VALUES(N'2016-02-29', N'2016/10', N'2016/02', N'2016', N'', N'&lt;Root&gt;&lt;/Root&gt;')</v>
      </c>
    </row>
    <row r="429" spans="1:6" x14ac:dyDescent="0.25">
      <c r="A429" s="7">
        <v>42430</v>
      </c>
      <c r="B429" t="str">
        <f t="shared" si="34"/>
        <v>2016/10</v>
      </c>
      <c r="C429" t="str">
        <f t="shared" si="30"/>
        <v>2016/03</v>
      </c>
      <c r="D429">
        <f t="shared" si="31"/>
        <v>2016</v>
      </c>
      <c r="E429" t="str">
        <f t="shared" si="32"/>
        <v/>
      </c>
      <c r="F429" s="2" t="str">
        <f t="shared" si="33"/>
        <v>INSERT INTO Master_Calendar (Date, Week, Month, Year, Holiday, XmlMeta) VALUES(N'2016-03-01', N'2016/10', N'2016/03', N'2016', N'', N'&lt;Root&gt;&lt;/Root&gt;')</v>
      </c>
    </row>
    <row r="430" spans="1:6" x14ac:dyDescent="0.25">
      <c r="A430" s="7">
        <v>42431</v>
      </c>
      <c r="B430" t="str">
        <f t="shared" si="34"/>
        <v>2016/10</v>
      </c>
      <c r="C430" t="str">
        <f t="shared" si="30"/>
        <v>2016/03</v>
      </c>
      <c r="D430">
        <f t="shared" si="31"/>
        <v>2016</v>
      </c>
      <c r="E430" t="str">
        <f t="shared" si="32"/>
        <v/>
      </c>
      <c r="F430" s="2" t="str">
        <f t="shared" si="33"/>
        <v>INSERT INTO Master_Calendar (Date, Week, Month, Year, Holiday, XmlMeta) VALUES(N'2016-03-02', N'2016/10', N'2016/03', N'2016', N'', N'&lt;Root&gt;&lt;/Root&gt;')</v>
      </c>
    </row>
    <row r="431" spans="1:6" x14ac:dyDescent="0.25">
      <c r="A431" s="7">
        <v>42432</v>
      </c>
      <c r="B431" t="str">
        <f t="shared" si="34"/>
        <v>2016/10</v>
      </c>
      <c r="C431" t="str">
        <f t="shared" si="30"/>
        <v>2016/03</v>
      </c>
      <c r="D431">
        <f t="shared" si="31"/>
        <v>2016</v>
      </c>
      <c r="E431" t="str">
        <f t="shared" si="32"/>
        <v/>
      </c>
      <c r="F431" s="2" t="str">
        <f t="shared" si="33"/>
        <v>INSERT INTO Master_Calendar (Date, Week, Month, Year, Holiday, XmlMeta) VALUES(N'2016-03-03', N'2016/10', N'2016/03', N'2016', N'', N'&lt;Root&gt;&lt;/Root&gt;')</v>
      </c>
    </row>
    <row r="432" spans="1:6" x14ac:dyDescent="0.25">
      <c r="A432" s="7">
        <v>42433</v>
      </c>
      <c r="B432" t="str">
        <f t="shared" si="34"/>
        <v>2016/10</v>
      </c>
      <c r="C432" t="str">
        <f t="shared" si="30"/>
        <v>2016/03</v>
      </c>
      <c r="D432">
        <f t="shared" si="31"/>
        <v>2016</v>
      </c>
      <c r="E432" t="str">
        <f t="shared" si="32"/>
        <v/>
      </c>
      <c r="F432" s="2" t="str">
        <f t="shared" si="33"/>
        <v>INSERT INTO Master_Calendar (Date, Week, Month, Year, Holiday, XmlMeta) VALUES(N'2016-03-04', N'2016/10', N'2016/03', N'2016', N'', N'&lt;Root&gt;&lt;/Root&gt;')</v>
      </c>
    </row>
    <row r="433" spans="1:6" x14ac:dyDescent="0.25">
      <c r="A433" s="7">
        <v>42434</v>
      </c>
      <c r="B433" t="str">
        <f t="shared" si="34"/>
        <v>2016/10</v>
      </c>
      <c r="C433" t="str">
        <f t="shared" si="30"/>
        <v>2016/03</v>
      </c>
      <c r="D433">
        <f t="shared" si="31"/>
        <v>2016</v>
      </c>
      <c r="E433" t="str">
        <f t="shared" si="32"/>
        <v>Thứ 7</v>
      </c>
      <c r="F433" s="2" t="str">
        <f t="shared" si="33"/>
        <v>INSERT INTO Master_Calendar (Date, Week, Month, Year, Holiday, XmlMeta) VALUES(N'2016-03-05', N'2016/10', N'2016/03', N'2016', N'Thứ 7', N'&lt;Root&gt;&lt;/Root&gt;')</v>
      </c>
    </row>
    <row r="434" spans="1:6" x14ac:dyDescent="0.25">
      <c r="A434" s="7">
        <v>42435</v>
      </c>
      <c r="B434" t="str">
        <f t="shared" si="34"/>
        <v>2016/10</v>
      </c>
      <c r="C434" t="str">
        <f t="shared" si="30"/>
        <v>2016/03</v>
      </c>
      <c r="D434">
        <f t="shared" si="31"/>
        <v>2016</v>
      </c>
      <c r="E434" t="str">
        <f t="shared" si="32"/>
        <v>Chủ nhật</v>
      </c>
      <c r="F434" s="2" t="str">
        <f t="shared" si="33"/>
        <v>INSERT INTO Master_Calendar (Date, Week, Month, Year, Holiday, XmlMeta) VALUES(N'2016-03-06', N'2016/10', N'2016/03', N'2016', N'Chủ nhật', N'&lt;Root&gt;&lt;/Root&gt;')</v>
      </c>
    </row>
    <row r="435" spans="1:6" x14ac:dyDescent="0.25">
      <c r="A435" s="7">
        <v>42436</v>
      </c>
      <c r="B435" t="str">
        <f t="shared" si="34"/>
        <v>2016/11</v>
      </c>
      <c r="C435" t="str">
        <f t="shared" si="30"/>
        <v>2016/03</v>
      </c>
      <c r="D435">
        <f t="shared" si="31"/>
        <v>2016</v>
      </c>
      <c r="E435" t="str">
        <f t="shared" si="32"/>
        <v/>
      </c>
      <c r="F435" s="2" t="str">
        <f t="shared" si="33"/>
        <v>INSERT INTO Master_Calendar (Date, Week, Month, Year, Holiday, XmlMeta) VALUES(N'2016-03-07', N'2016/11', N'2016/03', N'2016', N'', N'&lt;Root&gt;&lt;/Root&gt;')</v>
      </c>
    </row>
    <row r="436" spans="1:6" x14ac:dyDescent="0.25">
      <c r="A436" s="7">
        <v>42437</v>
      </c>
      <c r="B436" t="str">
        <f t="shared" si="34"/>
        <v>2016/11</v>
      </c>
      <c r="C436" t="str">
        <f t="shared" si="30"/>
        <v>2016/03</v>
      </c>
      <c r="D436">
        <f t="shared" si="31"/>
        <v>2016</v>
      </c>
      <c r="E436" t="str">
        <f t="shared" si="32"/>
        <v/>
      </c>
      <c r="F436" s="2" t="str">
        <f t="shared" si="33"/>
        <v>INSERT INTO Master_Calendar (Date, Week, Month, Year, Holiday, XmlMeta) VALUES(N'2016-03-08', N'2016/11', N'2016/03', N'2016', N'', N'&lt;Root&gt;&lt;/Root&gt;')</v>
      </c>
    </row>
    <row r="437" spans="1:6" x14ac:dyDescent="0.25">
      <c r="A437" s="7">
        <v>42438</v>
      </c>
      <c r="B437" t="str">
        <f t="shared" si="34"/>
        <v>2016/11</v>
      </c>
      <c r="C437" t="str">
        <f t="shared" si="30"/>
        <v>2016/03</v>
      </c>
      <c r="D437">
        <f t="shared" si="31"/>
        <v>2016</v>
      </c>
      <c r="E437" t="str">
        <f t="shared" si="32"/>
        <v/>
      </c>
      <c r="F437" s="2" t="str">
        <f t="shared" si="33"/>
        <v>INSERT INTO Master_Calendar (Date, Week, Month, Year, Holiday, XmlMeta) VALUES(N'2016-03-09', N'2016/11', N'2016/03', N'2016', N'', N'&lt;Root&gt;&lt;/Root&gt;')</v>
      </c>
    </row>
    <row r="438" spans="1:6" x14ac:dyDescent="0.25">
      <c r="A438" s="7">
        <v>42439</v>
      </c>
      <c r="B438" t="str">
        <f t="shared" si="34"/>
        <v>2016/11</v>
      </c>
      <c r="C438" t="str">
        <f t="shared" si="30"/>
        <v>2016/03</v>
      </c>
      <c r="D438">
        <f t="shared" si="31"/>
        <v>2016</v>
      </c>
      <c r="E438" t="str">
        <f t="shared" si="32"/>
        <v/>
      </c>
      <c r="F438" s="2" t="str">
        <f t="shared" si="33"/>
        <v>INSERT INTO Master_Calendar (Date, Week, Month, Year, Holiday, XmlMeta) VALUES(N'2016-03-10', N'2016/11', N'2016/03', N'2016', N'', N'&lt;Root&gt;&lt;/Root&gt;')</v>
      </c>
    </row>
    <row r="439" spans="1:6" x14ac:dyDescent="0.25">
      <c r="A439" s="7">
        <v>42440</v>
      </c>
      <c r="B439" t="str">
        <f t="shared" si="34"/>
        <v>2016/11</v>
      </c>
      <c r="C439" t="str">
        <f t="shared" si="30"/>
        <v>2016/03</v>
      </c>
      <c r="D439">
        <f t="shared" si="31"/>
        <v>2016</v>
      </c>
      <c r="E439" t="str">
        <f t="shared" si="32"/>
        <v/>
      </c>
      <c r="F439" s="2" t="str">
        <f t="shared" si="33"/>
        <v>INSERT INTO Master_Calendar (Date, Week, Month, Year, Holiday, XmlMeta) VALUES(N'2016-03-11', N'2016/11', N'2016/03', N'2016', N'', N'&lt;Root&gt;&lt;/Root&gt;')</v>
      </c>
    </row>
    <row r="440" spans="1:6" x14ac:dyDescent="0.25">
      <c r="A440" s="7">
        <v>42441</v>
      </c>
      <c r="B440" t="str">
        <f t="shared" si="34"/>
        <v>2016/11</v>
      </c>
      <c r="C440" t="str">
        <f t="shared" si="30"/>
        <v>2016/03</v>
      </c>
      <c r="D440">
        <f t="shared" si="31"/>
        <v>2016</v>
      </c>
      <c r="E440" t="str">
        <f t="shared" si="32"/>
        <v>Thứ 7</v>
      </c>
      <c r="F440" s="2" t="str">
        <f t="shared" si="33"/>
        <v>INSERT INTO Master_Calendar (Date, Week, Month, Year, Holiday, XmlMeta) VALUES(N'2016-03-12', N'2016/11', N'2016/03', N'2016', N'Thứ 7', N'&lt;Root&gt;&lt;/Root&gt;')</v>
      </c>
    </row>
    <row r="441" spans="1:6" x14ac:dyDescent="0.25">
      <c r="A441" s="7">
        <v>42442</v>
      </c>
      <c r="B441" t="str">
        <f t="shared" si="34"/>
        <v>2016/11</v>
      </c>
      <c r="C441" t="str">
        <f t="shared" si="30"/>
        <v>2016/03</v>
      </c>
      <c r="D441">
        <f t="shared" si="31"/>
        <v>2016</v>
      </c>
      <c r="E441" t="str">
        <f t="shared" si="32"/>
        <v>Chủ nhật</v>
      </c>
      <c r="F441" s="2" t="str">
        <f t="shared" si="33"/>
        <v>INSERT INTO Master_Calendar (Date, Week, Month, Year, Holiday, XmlMeta) VALUES(N'2016-03-13', N'2016/11', N'2016/03', N'2016', N'Chủ nhật', N'&lt;Root&gt;&lt;/Root&gt;')</v>
      </c>
    </row>
    <row r="442" spans="1:6" x14ac:dyDescent="0.25">
      <c r="A442" s="7">
        <v>42443</v>
      </c>
      <c r="B442" t="str">
        <f t="shared" si="34"/>
        <v>2016/12</v>
      </c>
      <c r="C442" t="str">
        <f t="shared" si="30"/>
        <v>2016/03</v>
      </c>
      <c r="D442">
        <f t="shared" si="31"/>
        <v>2016</v>
      </c>
      <c r="E442" t="str">
        <f t="shared" si="32"/>
        <v/>
      </c>
      <c r="F442" s="2" t="str">
        <f t="shared" si="33"/>
        <v>INSERT INTO Master_Calendar (Date, Week, Month, Year, Holiday, XmlMeta) VALUES(N'2016-03-14', N'2016/12', N'2016/03', N'2016', N'', N'&lt;Root&gt;&lt;/Root&gt;')</v>
      </c>
    </row>
    <row r="443" spans="1:6" x14ac:dyDescent="0.25">
      <c r="A443" s="7">
        <v>42444</v>
      </c>
      <c r="B443" t="str">
        <f t="shared" si="34"/>
        <v>2016/12</v>
      </c>
      <c r="C443" t="str">
        <f t="shared" si="30"/>
        <v>2016/03</v>
      </c>
      <c r="D443">
        <f t="shared" si="31"/>
        <v>2016</v>
      </c>
      <c r="E443" t="str">
        <f t="shared" si="32"/>
        <v/>
      </c>
      <c r="F443" s="2" t="str">
        <f t="shared" si="33"/>
        <v>INSERT INTO Master_Calendar (Date, Week, Month, Year, Holiday, XmlMeta) VALUES(N'2016-03-15', N'2016/12', N'2016/03', N'2016', N'', N'&lt;Root&gt;&lt;/Root&gt;')</v>
      </c>
    </row>
    <row r="444" spans="1:6" x14ac:dyDescent="0.25">
      <c r="A444" s="7">
        <v>42445</v>
      </c>
      <c r="B444" t="str">
        <f t="shared" si="34"/>
        <v>2016/12</v>
      </c>
      <c r="C444" t="str">
        <f t="shared" si="30"/>
        <v>2016/03</v>
      </c>
      <c r="D444">
        <f t="shared" si="31"/>
        <v>2016</v>
      </c>
      <c r="E444" t="str">
        <f t="shared" si="32"/>
        <v/>
      </c>
      <c r="F444" s="2" t="str">
        <f t="shared" si="33"/>
        <v>INSERT INTO Master_Calendar (Date, Week, Month, Year, Holiday, XmlMeta) VALUES(N'2016-03-16', N'2016/12', N'2016/03', N'2016', N'', N'&lt;Root&gt;&lt;/Root&gt;')</v>
      </c>
    </row>
    <row r="445" spans="1:6" x14ac:dyDescent="0.25">
      <c r="A445" s="7">
        <v>42446</v>
      </c>
      <c r="B445" t="str">
        <f t="shared" si="34"/>
        <v>2016/12</v>
      </c>
      <c r="C445" t="str">
        <f t="shared" si="30"/>
        <v>2016/03</v>
      </c>
      <c r="D445">
        <f t="shared" si="31"/>
        <v>2016</v>
      </c>
      <c r="E445" t="str">
        <f t="shared" si="32"/>
        <v/>
      </c>
      <c r="F445" s="2" t="str">
        <f t="shared" si="33"/>
        <v>INSERT INTO Master_Calendar (Date, Week, Month, Year, Holiday, XmlMeta) VALUES(N'2016-03-17', N'2016/12', N'2016/03', N'2016', N'', N'&lt;Root&gt;&lt;/Root&gt;')</v>
      </c>
    </row>
    <row r="446" spans="1:6" x14ac:dyDescent="0.25">
      <c r="A446" s="7">
        <v>42447</v>
      </c>
      <c r="B446" t="str">
        <f t="shared" si="34"/>
        <v>2016/12</v>
      </c>
      <c r="C446" t="str">
        <f t="shared" si="30"/>
        <v>2016/03</v>
      </c>
      <c r="D446">
        <f t="shared" si="31"/>
        <v>2016</v>
      </c>
      <c r="E446" t="str">
        <f t="shared" si="32"/>
        <v/>
      </c>
      <c r="F446" s="2" t="str">
        <f t="shared" si="33"/>
        <v>INSERT INTO Master_Calendar (Date, Week, Month, Year, Holiday, XmlMeta) VALUES(N'2016-03-18', N'2016/12', N'2016/03', N'2016', N'', N'&lt;Root&gt;&lt;/Root&gt;')</v>
      </c>
    </row>
    <row r="447" spans="1:6" x14ac:dyDescent="0.25">
      <c r="A447" s="7">
        <v>42448</v>
      </c>
      <c r="B447" t="str">
        <f t="shared" si="34"/>
        <v>2016/12</v>
      </c>
      <c r="C447" t="str">
        <f t="shared" si="30"/>
        <v>2016/03</v>
      </c>
      <c r="D447">
        <f t="shared" si="31"/>
        <v>2016</v>
      </c>
      <c r="E447" t="str">
        <f t="shared" si="32"/>
        <v>Thứ 7</v>
      </c>
      <c r="F447" s="2" t="str">
        <f t="shared" si="33"/>
        <v>INSERT INTO Master_Calendar (Date, Week, Month, Year, Holiday, XmlMeta) VALUES(N'2016-03-19', N'2016/12', N'2016/03', N'2016', N'Thứ 7', N'&lt;Root&gt;&lt;/Root&gt;')</v>
      </c>
    </row>
    <row r="448" spans="1:6" x14ac:dyDescent="0.25">
      <c r="A448" s="7">
        <v>42449</v>
      </c>
      <c r="B448" t="str">
        <f t="shared" si="34"/>
        <v>2016/12</v>
      </c>
      <c r="C448" t="str">
        <f t="shared" si="30"/>
        <v>2016/03</v>
      </c>
      <c r="D448">
        <f t="shared" si="31"/>
        <v>2016</v>
      </c>
      <c r="E448" t="str">
        <f t="shared" si="32"/>
        <v>Chủ nhật</v>
      </c>
      <c r="F448" s="2" t="str">
        <f t="shared" si="33"/>
        <v>INSERT INTO Master_Calendar (Date, Week, Month, Year, Holiday, XmlMeta) VALUES(N'2016-03-20', N'2016/12', N'2016/03', N'2016', N'Chủ nhật', N'&lt;Root&gt;&lt;/Root&gt;')</v>
      </c>
    </row>
    <row r="449" spans="1:6" x14ac:dyDescent="0.25">
      <c r="A449" s="7">
        <v>42450</v>
      </c>
      <c r="B449" t="str">
        <f t="shared" si="34"/>
        <v>2016/13</v>
      </c>
      <c r="C449" t="str">
        <f t="shared" si="30"/>
        <v>2016/03</v>
      </c>
      <c r="D449">
        <f t="shared" si="31"/>
        <v>2016</v>
      </c>
      <c r="E449" t="str">
        <f t="shared" si="32"/>
        <v/>
      </c>
      <c r="F449" s="2" t="str">
        <f t="shared" si="33"/>
        <v>INSERT INTO Master_Calendar (Date, Week, Month, Year, Holiday, XmlMeta) VALUES(N'2016-03-21', N'2016/13', N'2016/03', N'2016', N'', N'&lt;Root&gt;&lt;/Root&gt;')</v>
      </c>
    </row>
    <row r="450" spans="1:6" x14ac:dyDescent="0.25">
      <c r="A450" s="7">
        <v>42451</v>
      </c>
      <c r="B450" t="str">
        <f t="shared" si="34"/>
        <v>2016/13</v>
      </c>
      <c r="C450" t="str">
        <f t="shared" si="30"/>
        <v>2016/03</v>
      </c>
      <c r="D450">
        <f t="shared" si="31"/>
        <v>2016</v>
      </c>
      <c r="E450" t="str">
        <f t="shared" si="32"/>
        <v/>
      </c>
      <c r="F450" s="2" t="str">
        <f t="shared" si="33"/>
        <v>INSERT INTO Master_Calendar (Date, Week, Month, Year, Holiday, XmlMeta) VALUES(N'2016-03-22', N'2016/13', N'2016/03', N'2016', N'', N'&lt;Root&gt;&lt;/Root&gt;')</v>
      </c>
    </row>
    <row r="451" spans="1:6" x14ac:dyDescent="0.25">
      <c r="A451" s="7">
        <v>42452</v>
      </c>
      <c r="B451" t="str">
        <f t="shared" si="34"/>
        <v>2016/13</v>
      </c>
      <c r="C451" t="str">
        <f t="shared" si="30"/>
        <v>2016/03</v>
      </c>
      <c r="D451">
        <f t="shared" si="31"/>
        <v>2016</v>
      </c>
      <c r="E451" t="str">
        <f t="shared" si="32"/>
        <v/>
      </c>
      <c r="F451" s="2" t="str">
        <f t="shared" si="33"/>
        <v>INSERT INTO Master_Calendar (Date, Week, Month, Year, Holiday, XmlMeta) VALUES(N'2016-03-23', N'2016/13', N'2016/03', N'2016', N'', N'&lt;Root&gt;&lt;/Root&gt;')</v>
      </c>
    </row>
    <row r="452" spans="1:6" x14ac:dyDescent="0.25">
      <c r="A452" s="7">
        <v>42453</v>
      </c>
      <c r="B452" t="str">
        <f t="shared" si="34"/>
        <v>2016/13</v>
      </c>
      <c r="C452" t="str">
        <f t="shared" si="30"/>
        <v>2016/03</v>
      </c>
      <c r="D452">
        <f t="shared" si="31"/>
        <v>2016</v>
      </c>
      <c r="E452" t="str">
        <f t="shared" si="32"/>
        <v/>
      </c>
      <c r="F452" s="2" t="str">
        <f t="shared" si="33"/>
        <v>INSERT INTO Master_Calendar (Date, Week, Month, Year, Holiday, XmlMeta) VALUES(N'2016-03-24', N'2016/13', N'2016/03', N'2016', N'', N'&lt;Root&gt;&lt;/Root&gt;')</v>
      </c>
    </row>
    <row r="453" spans="1:6" x14ac:dyDescent="0.25">
      <c r="A453" s="7">
        <v>42454</v>
      </c>
      <c r="B453" t="str">
        <f t="shared" si="34"/>
        <v>2016/13</v>
      </c>
      <c r="C453" t="str">
        <f t="shared" ref="C453:C516" si="35">YEAR(A453)&amp;"/"&amp;RIGHT("00"&amp;MONTH(A453),2)</f>
        <v>2016/03</v>
      </c>
      <c r="D453">
        <f t="shared" ref="D453:D516" si="36">YEAR(A453)</f>
        <v>2016</v>
      </c>
      <c r="E453" t="str">
        <f t="shared" ref="E453:E516" si="37">IF(WEEKDAY(A453)=1, "Chủ nhật", IF(WEEKDAY(A453)=7, "Thứ 7", ""))</f>
        <v/>
      </c>
      <c r="F453" s="2" t="str">
        <f t="shared" ref="F453:F516" si="38">"INSERT INTO "&amp;$B$1&amp;" ("&amp;$A$3&amp;", "&amp;$B$3&amp;", "&amp;$C$3&amp;", "&amp;$D$3&amp;", "&amp;$E$3&amp;", XmlMeta) VALUES(N'"&amp;TEXT(A453, "yyyy-MM-dd")&amp;"', N'"&amp;B453&amp;"', N'"&amp;C453&amp;"', N'"&amp;D453&amp;"', N'"&amp;E453&amp;"', N'&lt;Root&gt;&lt;/Root&gt;')"</f>
        <v>INSERT INTO Master_Calendar (Date, Week, Month, Year, Holiday, XmlMeta) VALUES(N'2016-03-25', N'2016/13', N'2016/03', N'2016', N'', N'&lt;Root&gt;&lt;/Root&gt;')</v>
      </c>
    </row>
    <row r="454" spans="1:6" x14ac:dyDescent="0.25">
      <c r="A454" s="7">
        <v>42455</v>
      </c>
      <c r="B454" t="str">
        <f t="shared" ref="B454:B517" si="39">YEAR(A454) &amp; "/" &amp; RIGHT("00" &amp; IF(WEEKNUM(A454, 2) &gt; 52, 52, WEEKNUM(A454, 2)), 2)</f>
        <v>2016/13</v>
      </c>
      <c r="C454" t="str">
        <f t="shared" si="35"/>
        <v>2016/03</v>
      </c>
      <c r="D454">
        <f t="shared" si="36"/>
        <v>2016</v>
      </c>
      <c r="E454" t="str">
        <f t="shared" si="37"/>
        <v>Thứ 7</v>
      </c>
      <c r="F454" s="2" t="str">
        <f t="shared" si="38"/>
        <v>INSERT INTO Master_Calendar (Date, Week, Month, Year, Holiday, XmlMeta) VALUES(N'2016-03-26', N'2016/13', N'2016/03', N'2016', N'Thứ 7', N'&lt;Root&gt;&lt;/Root&gt;')</v>
      </c>
    </row>
    <row r="455" spans="1:6" x14ac:dyDescent="0.25">
      <c r="A455" s="7">
        <v>42456</v>
      </c>
      <c r="B455" t="str">
        <f t="shared" si="39"/>
        <v>2016/13</v>
      </c>
      <c r="C455" t="str">
        <f t="shared" si="35"/>
        <v>2016/03</v>
      </c>
      <c r="D455">
        <f t="shared" si="36"/>
        <v>2016</v>
      </c>
      <c r="E455" t="str">
        <f t="shared" si="37"/>
        <v>Chủ nhật</v>
      </c>
      <c r="F455" s="2" t="str">
        <f t="shared" si="38"/>
        <v>INSERT INTO Master_Calendar (Date, Week, Month, Year, Holiday, XmlMeta) VALUES(N'2016-03-27', N'2016/13', N'2016/03', N'2016', N'Chủ nhật', N'&lt;Root&gt;&lt;/Root&gt;')</v>
      </c>
    </row>
    <row r="456" spans="1:6" x14ac:dyDescent="0.25">
      <c r="A456" s="7">
        <v>42457</v>
      </c>
      <c r="B456" t="str">
        <f t="shared" si="39"/>
        <v>2016/14</v>
      </c>
      <c r="C456" t="str">
        <f t="shared" si="35"/>
        <v>2016/03</v>
      </c>
      <c r="D456">
        <f t="shared" si="36"/>
        <v>2016</v>
      </c>
      <c r="E456" t="str">
        <f t="shared" si="37"/>
        <v/>
      </c>
      <c r="F456" s="2" t="str">
        <f t="shared" si="38"/>
        <v>INSERT INTO Master_Calendar (Date, Week, Month, Year, Holiday, XmlMeta) VALUES(N'2016-03-28', N'2016/14', N'2016/03', N'2016', N'', N'&lt;Root&gt;&lt;/Root&gt;')</v>
      </c>
    </row>
    <row r="457" spans="1:6" x14ac:dyDescent="0.25">
      <c r="A457" s="7">
        <v>42458</v>
      </c>
      <c r="B457" t="str">
        <f t="shared" si="39"/>
        <v>2016/14</v>
      </c>
      <c r="C457" t="str">
        <f t="shared" si="35"/>
        <v>2016/03</v>
      </c>
      <c r="D457">
        <f t="shared" si="36"/>
        <v>2016</v>
      </c>
      <c r="E457" t="str">
        <f t="shared" si="37"/>
        <v/>
      </c>
      <c r="F457" s="2" t="str">
        <f t="shared" si="38"/>
        <v>INSERT INTO Master_Calendar (Date, Week, Month, Year, Holiday, XmlMeta) VALUES(N'2016-03-29', N'2016/14', N'2016/03', N'2016', N'', N'&lt;Root&gt;&lt;/Root&gt;')</v>
      </c>
    </row>
    <row r="458" spans="1:6" x14ac:dyDescent="0.25">
      <c r="A458" s="7">
        <v>42459</v>
      </c>
      <c r="B458" t="str">
        <f t="shared" si="39"/>
        <v>2016/14</v>
      </c>
      <c r="C458" t="str">
        <f t="shared" si="35"/>
        <v>2016/03</v>
      </c>
      <c r="D458">
        <f t="shared" si="36"/>
        <v>2016</v>
      </c>
      <c r="E458" t="str">
        <f t="shared" si="37"/>
        <v/>
      </c>
      <c r="F458" s="2" t="str">
        <f t="shared" si="38"/>
        <v>INSERT INTO Master_Calendar (Date, Week, Month, Year, Holiday, XmlMeta) VALUES(N'2016-03-30', N'2016/14', N'2016/03', N'2016', N'', N'&lt;Root&gt;&lt;/Root&gt;')</v>
      </c>
    </row>
    <row r="459" spans="1:6" x14ac:dyDescent="0.25">
      <c r="A459" s="7">
        <v>42460</v>
      </c>
      <c r="B459" t="str">
        <f t="shared" si="39"/>
        <v>2016/14</v>
      </c>
      <c r="C459" t="str">
        <f t="shared" si="35"/>
        <v>2016/03</v>
      </c>
      <c r="D459">
        <f t="shared" si="36"/>
        <v>2016</v>
      </c>
      <c r="E459" t="str">
        <f t="shared" si="37"/>
        <v/>
      </c>
      <c r="F459" s="2" t="str">
        <f t="shared" si="38"/>
        <v>INSERT INTO Master_Calendar (Date, Week, Month, Year, Holiday, XmlMeta) VALUES(N'2016-03-31', N'2016/14', N'2016/03', N'2016', N'', N'&lt;Root&gt;&lt;/Root&gt;')</v>
      </c>
    </row>
    <row r="460" spans="1:6" x14ac:dyDescent="0.25">
      <c r="A460" s="7">
        <v>42461</v>
      </c>
      <c r="B460" t="str">
        <f t="shared" si="39"/>
        <v>2016/14</v>
      </c>
      <c r="C460" t="str">
        <f t="shared" si="35"/>
        <v>2016/04</v>
      </c>
      <c r="D460">
        <f t="shared" si="36"/>
        <v>2016</v>
      </c>
      <c r="E460" t="str">
        <f t="shared" si="37"/>
        <v/>
      </c>
      <c r="F460" s="2" t="str">
        <f t="shared" si="38"/>
        <v>INSERT INTO Master_Calendar (Date, Week, Month, Year, Holiday, XmlMeta) VALUES(N'2016-04-01', N'2016/14', N'2016/04', N'2016', N'', N'&lt;Root&gt;&lt;/Root&gt;')</v>
      </c>
    </row>
    <row r="461" spans="1:6" x14ac:dyDescent="0.25">
      <c r="A461" s="7">
        <v>42462</v>
      </c>
      <c r="B461" t="str">
        <f t="shared" si="39"/>
        <v>2016/14</v>
      </c>
      <c r="C461" t="str">
        <f t="shared" si="35"/>
        <v>2016/04</v>
      </c>
      <c r="D461">
        <f t="shared" si="36"/>
        <v>2016</v>
      </c>
      <c r="E461" t="str">
        <f t="shared" si="37"/>
        <v>Thứ 7</v>
      </c>
      <c r="F461" s="2" t="str">
        <f t="shared" si="38"/>
        <v>INSERT INTO Master_Calendar (Date, Week, Month, Year, Holiday, XmlMeta) VALUES(N'2016-04-02', N'2016/14', N'2016/04', N'2016', N'Thứ 7', N'&lt;Root&gt;&lt;/Root&gt;')</v>
      </c>
    </row>
    <row r="462" spans="1:6" x14ac:dyDescent="0.25">
      <c r="A462" s="7">
        <v>42463</v>
      </c>
      <c r="B462" t="str">
        <f t="shared" si="39"/>
        <v>2016/14</v>
      </c>
      <c r="C462" t="str">
        <f t="shared" si="35"/>
        <v>2016/04</v>
      </c>
      <c r="D462">
        <f t="shared" si="36"/>
        <v>2016</v>
      </c>
      <c r="E462" t="str">
        <f t="shared" si="37"/>
        <v>Chủ nhật</v>
      </c>
      <c r="F462" s="2" t="str">
        <f t="shared" si="38"/>
        <v>INSERT INTO Master_Calendar (Date, Week, Month, Year, Holiday, XmlMeta) VALUES(N'2016-04-03', N'2016/14', N'2016/04', N'2016', N'Chủ nhật', N'&lt;Root&gt;&lt;/Root&gt;')</v>
      </c>
    </row>
    <row r="463" spans="1:6" x14ac:dyDescent="0.25">
      <c r="A463" s="7">
        <v>42464</v>
      </c>
      <c r="B463" t="str">
        <f t="shared" si="39"/>
        <v>2016/15</v>
      </c>
      <c r="C463" t="str">
        <f t="shared" si="35"/>
        <v>2016/04</v>
      </c>
      <c r="D463">
        <f t="shared" si="36"/>
        <v>2016</v>
      </c>
      <c r="E463" t="str">
        <f t="shared" si="37"/>
        <v/>
      </c>
      <c r="F463" s="2" t="str">
        <f t="shared" si="38"/>
        <v>INSERT INTO Master_Calendar (Date, Week, Month, Year, Holiday, XmlMeta) VALUES(N'2016-04-04', N'2016/15', N'2016/04', N'2016', N'', N'&lt;Root&gt;&lt;/Root&gt;')</v>
      </c>
    </row>
    <row r="464" spans="1:6" x14ac:dyDescent="0.25">
      <c r="A464" s="7">
        <v>42465</v>
      </c>
      <c r="B464" t="str">
        <f t="shared" si="39"/>
        <v>2016/15</v>
      </c>
      <c r="C464" t="str">
        <f t="shared" si="35"/>
        <v>2016/04</v>
      </c>
      <c r="D464">
        <f t="shared" si="36"/>
        <v>2016</v>
      </c>
      <c r="E464" t="str">
        <f t="shared" si="37"/>
        <v/>
      </c>
      <c r="F464" s="2" t="str">
        <f t="shared" si="38"/>
        <v>INSERT INTO Master_Calendar (Date, Week, Month, Year, Holiday, XmlMeta) VALUES(N'2016-04-05', N'2016/15', N'2016/04', N'2016', N'', N'&lt;Root&gt;&lt;/Root&gt;')</v>
      </c>
    </row>
    <row r="465" spans="1:6" x14ac:dyDescent="0.25">
      <c r="A465" s="7">
        <v>42466</v>
      </c>
      <c r="B465" t="str">
        <f t="shared" si="39"/>
        <v>2016/15</v>
      </c>
      <c r="C465" t="str">
        <f t="shared" si="35"/>
        <v>2016/04</v>
      </c>
      <c r="D465">
        <f t="shared" si="36"/>
        <v>2016</v>
      </c>
      <c r="E465" t="str">
        <f t="shared" si="37"/>
        <v/>
      </c>
      <c r="F465" s="2" t="str">
        <f t="shared" si="38"/>
        <v>INSERT INTO Master_Calendar (Date, Week, Month, Year, Holiday, XmlMeta) VALUES(N'2016-04-06', N'2016/15', N'2016/04', N'2016', N'', N'&lt;Root&gt;&lt;/Root&gt;')</v>
      </c>
    </row>
    <row r="466" spans="1:6" x14ac:dyDescent="0.25">
      <c r="A466" s="7">
        <v>42467</v>
      </c>
      <c r="B466" t="str">
        <f t="shared" si="39"/>
        <v>2016/15</v>
      </c>
      <c r="C466" t="str">
        <f t="shared" si="35"/>
        <v>2016/04</v>
      </c>
      <c r="D466">
        <f t="shared" si="36"/>
        <v>2016</v>
      </c>
      <c r="E466" t="str">
        <f t="shared" si="37"/>
        <v/>
      </c>
      <c r="F466" s="2" t="str">
        <f t="shared" si="38"/>
        <v>INSERT INTO Master_Calendar (Date, Week, Month, Year, Holiday, XmlMeta) VALUES(N'2016-04-07', N'2016/15', N'2016/04', N'2016', N'', N'&lt;Root&gt;&lt;/Root&gt;')</v>
      </c>
    </row>
    <row r="467" spans="1:6" x14ac:dyDescent="0.25">
      <c r="A467" s="7">
        <v>42468</v>
      </c>
      <c r="B467" t="str">
        <f t="shared" si="39"/>
        <v>2016/15</v>
      </c>
      <c r="C467" t="str">
        <f t="shared" si="35"/>
        <v>2016/04</v>
      </c>
      <c r="D467">
        <f t="shared" si="36"/>
        <v>2016</v>
      </c>
      <c r="E467" t="str">
        <f t="shared" si="37"/>
        <v/>
      </c>
      <c r="F467" s="2" t="str">
        <f t="shared" si="38"/>
        <v>INSERT INTO Master_Calendar (Date, Week, Month, Year, Holiday, XmlMeta) VALUES(N'2016-04-08', N'2016/15', N'2016/04', N'2016', N'', N'&lt;Root&gt;&lt;/Root&gt;')</v>
      </c>
    </row>
    <row r="468" spans="1:6" x14ac:dyDescent="0.25">
      <c r="A468" s="7">
        <v>42469</v>
      </c>
      <c r="B468" t="str">
        <f t="shared" si="39"/>
        <v>2016/15</v>
      </c>
      <c r="C468" t="str">
        <f t="shared" si="35"/>
        <v>2016/04</v>
      </c>
      <c r="D468">
        <f t="shared" si="36"/>
        <v>2016</v>
      </c>
      <c r="E468" t="str">
        <f t="shared" si="37"/>
        <v>Thứ 7</v>
      </c>
      <c r="F468" s="2" t="str">
        <f t="shared" si="38"/>
        <v>INSERT INTO Master_Calendar (Date, Week, Month, Year, Holiday, XmlMeta) VALUES(N'2016-04-09', N'2016/15', N'2016/04', N'2016', N'Thứ 7', N'&lt;Root&gt;&lt;/Root&gt;')</v>
      </c>
    </row>
    <row r="469" spans="1:6" x14ac:dyDescent="0.25">
      <c r="A469" s="7">
        <v>42470</v>
      </c>
      <c r="B469" t="str">
        <f t="shared" si="39"/>
        <v>2016/15</v>
      </c>
      <c r="C469" t="str">
        <f t="shared" si="35"/>
        <v>2016/04</v>
      </c>
      <c r="D469">
        <f t="shared" si="36"/>
        <v>2016</v>
      </c>
      <c r="E469" t="str">
        <f t="shared" si="37"/>
        <v>Chủ nhật</v>
      </c>
      <c r="F469" s="2" t="str">
        <f t="shared" si="38"/>
        <v>INSERT INTO Master_Calendar (Date, Week, Month, Year, Holiday, XmlMeta) VALUES(N'2016-04-10', N'2016/15', N'2016/04', N'2016', N'Chủ nhật', N'&lt;Root&gt;&lt;/Root&gt;')</v>
      </c>
    </row>
    <row r="470" spans="1:6" x14ac:dyDescent="0.25">
      <c r="A470" s="7">
        <v>42471</v>
      </c>
      <c r="B470" t="str">
        <f t="shared" si="39"/>
        <v>2016/16</v>
      </c>
      <c r="C470" t="str">
        <f t="shared" si="35"/>
        <v>2016/04</v>
      </c>
      <c r="D470">
        <f t="shared" si="36"/>
        <v>2016</v>
      </c>
      <c r="E470" t="str">
        <f t="shared" si="37"/>
        <v/>
      </c>
      <c r="F470" s="2" t="str">
        <f t="shared" si="38"/>
        <v>INSERT INTO Master_Calendar (Date, Week, Month, Year, Holiday, XmlMeta) VALUES(N'2016-04-11', N'2016/16', N'2016/04', N'2016', N'', N'&lt;Root&gt;&lt;/Root&gt;')</v>
      </c>
    </row>
    <row r="471" spans="1:6" x14ac:dyDescent="0.25">
      <c r="A471" s="7">
        <v>42472</v>
      </c>
      <c r="B471" t="str">
        <f t="shared" si="39"/>
        <v>2016/16</v>
      </c>
      <c r="C471" t="str">
        <f t="shared" si="35"/>
        <v>2016/04</v>
      </c>
      <c r="D471">
        <f t="shared" si="36"/>
        <v>2016</v>
      </c>
      <c r="E471" t="str">
        <f t="shared" si="37"/>
        <v/>
      </c>
      <c r="F471" s="2" t="str">
        <f t="shared" si="38"/>
        <v>INSERT INTO Master_Calendar (Date, Week, Month, Year, Holiday, XmlMeta) VALUES(N'2016-04-12', N'2016/16', N'2016/04', N'2016', N'', N'&lt;Root&gt;&lt;/Root&gt;')</v>
      </c>
    </row>
    <row r="472" spans="1:6" x14ac:dyDescent="0.25">
      <c r="A472" s="7">
        <v>42473</v>
      </c>
      <c r="B472" t="str">
        <f t="shared" si="39"/>
        <v>2016/16</v>
      </c>
      <c r="C472" t="str">
        <f t="shared" si="35"/>
        <v>2016/04</v>
      </c>
      <c r="D472">
        <f t="shared" si="36"/>
        <v>2016</v>
      </c>
      <c r="E472" t="str">
        <f t="shared" si="37"/>
        <v/>
      </c>
      <c r="F472" s="2" t="str">
        <f t="shared" si="38"/>
        <v>INSERT INTO Master_Calendar (Date, Week, Month, Year, Holiday, XmlMeta) VALUES(N'2016-04-13', N'2016/16', N'2016/04', N'2016', N'', N'&lt;Root&gt;&lt;/Root&gt;')</v>
      </c>
    </row>
    <row r="473" spans="1:6" x14ac:dyDescent="0.25">
      <c r="A473" s="7">
        <v>42474</v>
      </c>
      <c r="B473" t="str">
        <f t="shared" si="39"/>
        <v>2016/16</v>
      </c>
      <c r="C473" t="str">
        <f t="shared" si="35"/>
        <v>2016/04</v>
      </c>
      <c r="D473">
        <f t="shared" si="36"/>
        <v>2016</v>
      </c>
      <c r="E473" t="str">
        <f t="shared" si="37"/>
        <v/>
      </c>
      <c r="F473" s="2" t="str">
        <f t="shared" si="38"/>
        <v>INSERT INTO Master_Calendar (Date, Week, Month, Year, Holiday, XmlMeta) VALUES(N'2016-04-14', N'2016/16', N'2016/04', N'2016', N'', N'&lt;Root&gt;&lt;/Root&gt;')</v>
      </c>
    </row>
    <row r="474" spans="1:6" x14ac:dyDescent="0.25">
      <c r="A474" s="7">
        <v>42475</v>
      </c>
      <c r="B474" t="str">
        <f t="shared" si="39"/>
        <v>2016/16</v>
      </c>
      <c r="C474" t="str">
        <f t="shared" si="35"/>
        <v>2016/04</v>
      </c>
      <c r="D474">
        <f t="shared" si="36"/>
        <v>2016</v>
      </c>
      <c r="E474" t="str">
        <f t="shared" si="37"/>
        <v/>
      </c>
      <c r="F474" s="2" t="str">
        <f t="shared" si="38"/>
        <v>INSERT INTO Master_Calendar (Date, Week, Month, Year, Holiday, XmlMeta) VALUES(N'2016-04-15', N'2016/16', N'2016/04', N'2016', N'', N'&lt;Root&gt;&lt;/Root&gt;')</v>
      </c>
    </row>
    <row r="475" spans="1:6" x14ac:dyDescent="0.25">
      <c r="A475" s="7">
        <v>42476</v>
      </c>
      <c r="B475" t="str">
        <f t="shared" si="39"/>
        <v>2016/16</v>
      </c>
      <c r="C475" t="str">
        <f t="shared" si="35"/>
        <v>2016/04</v>
      </c>
      <c r="D475">
        <f t="shared" si="36"/>
        <v>2016</v>
      </c>
      <c r="E475" t="str">
        <f t="shared" si="37"/>
        <v>Thứ 7</v>
      </c>
      <c r="F475" s="2" t="str">
        <f t="shared" si="38"/>
        <v>INSERT INTO Master_Calendar (Date, Week, Month, Year, Holiday, XmlMeta) VALUES(N'2016-04-16', N'2016/16', N'2016/04', N'2016', N'Thứ 7', N'&lt;Root&gt;&lt;/Root&gt;')</v>
      </c>
    </row>
    <row r="476" spans="1:6" x14ac:dyDescent="0.25">
      <c r="A476" s="7">
        <v>42477</v>
      </c>
      <c r="B476" t="str">
        <f t="shared" si="39"/>
        <v>2016/16</v>
      </c>
      <c r="C476" t="str">
        <f t="shared" si="35"/>
        <v>2016/04</v>
      </c>
      <c r="D476">
        <f t="shared" si="36"/>
        <v>2016</v>
      </c>
      <c r="E476" t="str">
        <f t="shared" si="37"/>
        <v>Chủ nhật</v>
      </c>
      <c r="F476" s="2" t="str">
        <f t="shared" si="38"/>
        <v>INSERT INTO Master_Calendar (Date, Week, Month, Year, Holiday, XmlMeta) VALUES(N'2016-04-17', N'2016/16', N'2016/04', N'2016', N'Chủ nhật', N'&lt;Root&gt;&lt;/Root&gt;')</v>
      </c>
    </row>
    <row r="477" spans="1:6" x14ac:dyDescent="0.25">
      <c r="A477" s="7">
        <v>42478</v>
      </c>
      <c r="B477" t="str">
        <f t="shared" si="39"/>
        <v>2016/17</v>
      </c>
      <c r="C477" t="str">
        <f t="shared" si="35"/>
        <v>2016/04</v>
      </c>
      <c r="D477">
        <f t="shared" si="36"/>
        <v>2016</v>
      </c>
      <c r="E477" t="str">
        <f t="shared" si="37"/>
        <v/>
      </c>
      <c r="F477" s="2" t="str">
        <f t="shared" si="38"/>
        <v>INSERT INTO Master_Calendar (Date, Week, Month, Year, Holiday, XmlMeta) VALUES(N'2016-04-18', N'2016/17', N'2016/04', N'2016', N'', N'&lt;Root&gt;&lt;/Root&gt;')</v>
      </c>
    </row>
    <row r="478" spans="1:6" x14ac:dyDescent="0.25">
      <c r="A478" s="7">
        <v>42479</v>
      </c>
      <c r="B478" t="str">
        <f t="shared" si="39"/>
        <v>2016/17</v>
      </c>
      <c r="C478" t="str">
        <f t="shared" si="35"/>
        <v>2016/04</v>
      </c>
      <c r="D478">
        <f t="shared" si="36"/>
        <v>2016</v>
      </c>
      <c r="E478" t="str">
        <f t="shared" si="37"/>
        <v/>
      </c>
      <c r="F478" s="2" t="str">
        <f t="shared" si="38"/>
        <v>INSERT INTO Master_Calendar (Date, Week, Month, Year, Holiday, XmlMeta) VALUES(N'2016-04-19', N'2016/17', N'2016/04', N'2016', N'', N'&lt;Root&gt;&lt;/Root&gt;')</v>
      </c>
    </row>
    <row r="479" spans="1:6" x14ac:dyDescent="0.25">
      <c r="A479" s="7">
        <v>42480</v>
      </c>
      <c r="B479" t="str">
        <f t="shared" si="39"/>
        <v>2016/17</v>
      </c>
      <c r="C479" t="str">
        <f t="shared" si="35"/>
        <v>2016/04</v>
      </c>
      <c r="D479">
        <f t="shared" si="36"/>
        <v>2016</v>
      </c>
      <c r="E479" t="str">
        <f t="shared" si="37"/>
        <v/>
      </c>
      <c r="F479" s="2" t="str">
        <f t="shared" si="38"/>
        <v>INSERT INTO Master_Calendar (Date, Week, Month, Year, Holiday, XmlMeta) VALUES(N'2016-04-20', N'2016/17', N'2016/04', N'2016', N'', N'&lt;Root&gt;&lt;/Root&gt;')</v>
      </c>
    </row>
    <row r="480" spans="1:6" x14ac:dyDescent="0.25">
      <c r="A480" s="7">
        <v>42481</v>
      </c>
      <c r="B480" t="str">
        <f t="shared" si="39"/>
        <v>2016/17</v>
      </c>
      <c r="C480" t="str">
        <f t="shared" si="35"/>
        <v>2016/04</v>
      </c>
      <c r="D480">
        <f t="shared" si="36"/>
        <v>2016</v>
      </c>
      <c r="E480" t="str">
        <f t="shared" si="37"/>
        <v/>
      </c>
      <c r="F480" s="2" t="str">
        <f t="shared" si="38"/>
        <v>INSERT INTO Master_Calendar (Date, Week, Month, Year, Holiday, XmlMeta) VALUES(N'2016-04-21', N'2016/17', N'2016/04', N'2016', N'', N'&lt;Root&gt;&lt;/Root&gt;')</v>
      </c>
    </row>
    <row r="481" spans="1:6" x14ac:dyDescent="0.25">
      <c r="A481" s="7">
        <v>42482</v>
      </c>
      <c r="B481" t="str">
        <f t="shared" si="39"/>
        <v>2016/17</v>
      </c>
      <c r="C481" t="str">
        <f t="shared" si="35"/>
        <v>2016/04</v>
      </c>
      <c r="D481">
        <f t="shared" si="36"/>
        <v>2016</v>
      </c>
      <c r="E481" t="str">
        <f t="shared" si="37"/>
        <v/>
      </c>
      <c r="F481" s="2" t="str">
        <f t="shared" si="38"/>
        <v>INSERT INTO Master_Calendar (Date, Week, Month, Year, Holiday, XmlMeta) VALUES(N'2016-04-22', N'2016/17', N'2016/04', N'2016', N'', N'&lt;Root&gt;&lt;/Root&gt;')</v>
      </c>
    </row>
    <row r="482" spans="1:6" x14ac:dyDescent="0.25">
      <c r="A482" s="7">
        <v>42483</v>
      </c>
      <c r="B482" t="str">
        <f t="shared" si="39"/>
        <v>2016/17</v>
      </c>
      <c r="C482" t="str">
        <f t="shared" si="35"/>
        <v>2016/04</v>
      </c>
      <c r="D482">
        <f t="shared" si="36"/>
        <v>2016</v>
      </c>
      <c r="E482" t="str">
        <f t="shared" si="37"/>
        <v>Thứ 7</v>
      </c>
      <c r="F482" s="2" t="str">
        <f t="shared" si="38"/>
        <v>INSERT INTO Master_Calendar (Date, Week, Month, Year, Holiday, XmlMeta) VALUES(N'2016-04-23', N'2016/17', N'2016/04', N'2016', N'Thứ 7', N'&lt;Root&gt;&lt;/Root&gt;')</v>
      </c>
    </row>
    <row r="483" spans="1:6" x14ac:dyDescent="0.25">
      <c r="A483" s="7">
        <v>42484</v>
      </c>
      <c r="B483" t="str">
        <f t="shared" si="39"/>
        <v>2016/17</v>
      </c>
      <c r="C483" t="str">
        <f t="shared" si="35"/>
        <v>2016/04</v>
      </c>
      <c r="D483">
        <f t="shared" si="36"/>
        <v>2016</v>
      </c>
      <c r="E483" t="str">
        <f t="shared" si="37"/>
        <v>Chủ nhật</v>
      </c>
      <c r="F483" s="2" t="str">
        <f t="shared" si="38"/>
        <v>INSERT INTO Master_Calendar (Date, Week, Month, Year, Holiday, XmlMeta) VALUES(N'2016-04-24', N'2016/17', N'2016/04', N'2016', N'Chủ nhật', N'&lt;Root&gt;&lt;/Root&gt;')</v>
      </c>
    </row>
    <row r="484" spans="1:6" x14ac:dyDescent="0.25">
      <c r="A484" s="7">
        <v>42485</v>
      </c>
      <c r="B484" t="str">
        <f t="shared" si="39"/>
        <v>2016/18</v>
      </c>
      <c r="C484" t="str">
        <f t="shared" si="35"/>
        <v>2016/04</v>
      </c>
      <c r="D484">
        <f t="shared" si="36"/>
        <v>2016</v>
      </c>
      <c r="E484" t="str">
        <f t="shared" si="37"/>
        <v/>
      </c>
      <c r="F484" s="2" t="str">
        <f t="shared" si="38"/>
        <v>INSERT INTO Master_Calendar (Date, Week, Month, Year, Holiday, XmlMeta) VALUES(N'2016-04-25', N'2016/18', N'2016/04', N'2016', N'', N'&lt;Root&gt;&lt;/Root&gt;')</v>
      </c>
    </row>
    <row r="485" spans="1:6" x14ac:dyDescent="0.25">
      <c r="A485" s="7">
        <v>42486</v>
      </c>
      <c r="B485" t="str">
        <f t="shared" si="39"/>
        <v>2016/18</v>
      </c>
      <c r="C485" t="str">
        <f t="shared" si="35"/>
        <v>2016/04</v>
      </c>
      <c r="D485">
        <f t="shared" si="36"/>
        <v>2016</v>
      </c>
      <c r="E485" t="str">
        <f t="shared" si="37"/>
        <v/>
      </c>
      <c r="F485" s="2" t="str">
        <f t="shared" si="38"/>
        <v>INSERT INTO Master_Calendar (Date, Week, Month, Year, Holiday, XmlMeta) VALUES(N'2016-04-26', N'2016/18', N'2016/04', N'2016', N'', N'&lt;Root&gt;&lt;/Root&gt;')</v>
      </c>
    </row>
    <row r="486" spans="1:6" x14ac:dyDescent="0.25">
      <c r="A486" s="7">
        <v>42487</v>
      </c>
      <c r="B486" t="str">
        <f t="shared" si="39"/>
        <v>2016/18</v>
      </c>
      <c r="C486" t="str">
        <f t="shared" si="35"/>
        <v>2016/04</v>
      </c>
      <c r="D486">
        <f t="shared" si="36"/>
        <v>2016</v>
      </c>
      <c r="E486" t="str">
        <f t="shared" si="37"/>
        <v/>
      </c>
      <c r="F486" s="2" t="str">
        <f t="shared" si="38"/>
        <v>INSERT INTO Master_Calendar (Date, Week, Month, Year, Holiday, XmlMeta) VALUES(N'2016-04-27', N'2016/18', N'2016/04', N'2016', N'', N'&lt;Root&gt;&lt;/Root&gt;')</v>
      </c>
    </row>
    <row r="487" spans="1:6" x14ac:dyDescent="0.25">
      <c r="A487" s="7">
        <v>42488</v>
      </c>
      <c r="B487" t="str">
        <f t="shared" si="39"/>
        <v>2016/18</v>
      </c>
      <c r="C487" t="str">
        <f t="shared" si="35"/>
        <v>2016/04</v>
      </c>
      <c r="D487">
        <f t="shared" si="36"/>
        <v>2016</v>
      </c>
      <c r="E487" t="str">
        <f t="shared" si="37"/>
        <v/>
      </c>
      <c r="F487" s="2" t="str">
        <f t="shared" si="38"/>
        <v>INSERT INTO Master_Calendar (Date, Week, Month, Year, Holiday, XmlMeta) VALUES(N'2016-04-28', N'2016/18', N'2016/04', N'2016', N'', N'&lt;Root&gt;&lt;/Root&gt;')</v>
      </c>
    </row>
    <row r="488" spans="1:6" x14ac:dyDescent="0.25">
      <c r="A488" s="7">
        <v>42489</v>
      </c>
      <c r="B488" t="str">
        <f t="shared" si="39"/>
        <v>2016/18</v>
      </c>
      <c r="C488" t="str">
        <f t="shared" si="35"/>
        <v>2016/04</v>
      </c>
      <c r="D488">
        <f t="shared" si="36"/>
        <v>2016</v>
      </c>
      <c r="E488" t="str">
        <f t="shared" si="37"/>
        <v/>
      </c>
      <c r="F488" s="2" t="str">
        <f t="shared" si="38"/>
        <v>INSERT INTO Master_Calendar (Date, Week, Month, Year, Holiday, XmlMeta) VALUES(N'2016-04-29', N'2016/18', N'2016/04', N'2016', N'', N'&lt;Root&gt;&lt;/Root&gt;')</v>
      </c>
    </row>
    <row r="489" spans="1:6" x14ac:dyDescent="0.25">
      <c r="A489" s="7">
        <v>42490</v>
      </c>
      <c r="B489" t="str">
        <f t="shared" si="39"/>
        <v>2016/18</v>
      </c>
      <c r="C489" t="str">
        <f t="shared" si="35"/>
        <v>2016/04</v>
      </c>
      <c r="D489">
        <f t="shared" si="36"/>
        <v>2016</v>
      </c>
      <c r="E489" t="str">
        <f t="shared" si="37"/>
        <v>Thứ 7</v>
      </c>
      <c r="F489" s="2" t="str">
        <f t="shared" si="38"/>
        <v>INSERT INTO Master_Calendar (Date, Week, Month, Year, Holiday, XmlMeta) VALUES(N'2016-04-30', N'2016/18', N'2016/04', N'2016', N'Thứ 7', N'&lt;Root&gt;&lt;/Root&gt;')</v>
      </c>
    </row>
    <row r="490" spans="1:6" x14ac:dyDescent="0.25">
      <c r="A490" s="7">
        <v>42491</v>
      </c>
      <c r="B490" t="str">
        <f t="shared" si="39"/>
        <v>2016/18</v>
      </c>
      <c r="C490" t="str">
        <f t="shared" si="35"/>
        <v>2016/05</v>
      </c>
      <c r="D490">
        <f t="shared" si="36"/>
        <v>2016</v>
      </c>
      <c r="E490" t="str">
        <f t="shared" si="37"/>
        <v>Chủ nhật</v>
      </c>
      <c r="F490" s="2" t="str">
        <f t="shared" si="38"/>
        <v>INSERT INTO Master_Calendar (Date, Week, Month, Year, Holiday, XmlMeta) VALUES(N'2016-05-01', N'2016/18', N'2016/05', N'2016', N'Chủ nhật', N'&lt;Root&gt;&lt;/Root&gt;')</v>
      </c>
    </row>
    <row r="491" spans="1:6" x14ac:dyDescent="0.25">
      <c r="A491" s="7">
        <v>42492</v>
      </c>
      <c r="B491" t="str">
        <f t="shared" si="39"/>
        <v>2016/19</v>
      </c>
      <c r="C491" t="str">
        <f t="shared" si="35"/>
        <v>2016/05</v>
      </c>
      <c r="D491">
        <f t="shared" si="36"/>
        <v>2016</v>
      </c>
      <c r="E491" t="str">
        <f t="shared" si="37"/>
        <v/>
      </c>
      <c r="F491" s="2" t="str">
        <f t="shared" si="38"/>
        <v>INSERT INTO Master_Calendar (Date, Week, Month, Year, Holiday, XmlMeta) VALUES(N'2016-05-02', N'2016/19', N'2016/05', N'2016', N'', N'&lt;Root&gt;&lt;/Root&gt;')</v>
      </c>
    </row>
    <row r="492" spans="1:6" x14ac:dyDescent="0.25">
      <c r="A492" s="7">
        <v>42493</v>
      </c>
      <c r="B492" t="str">
        <f t="shared" si="39"/>
        <v>2016/19</v>
      </c>
      <c r="C492" t="str">
        <f t="shared" si="35"/>
        <v>2016/05</v>
      </c>
      <c r="D492">
        <f t="shared" si="36"/>
        <v>2016</v>
      </c>
      <c r="E492" t="str">
        <f t="shared" si="37"/>
        <v/>
      </c>
      <c r="F492" s="2" t="str">
        <f t="shared" si="38"/>
        <v>INSERT INTO Master_Calendar (Date, Week, Month, Year, Holiday, XmlMeta) VALUES(N'2016-05-03', N'2016/19', N'2016/05', N'2016', N'', N'&lt;Root&gt;&lt;/Root&gt;')</v>
      </c>
    </row>
    <row r="493" spans="1:6" x14ac:dyDescent="0.25">
      <c r="A493" s="7">
        <v>42494</v>
      </c>
      <c r="B493" t="str">
        <f t="shared" si="39"/>
        <v>2016/19</v>
      </c>
      <c r="C493" t="str">
        <f t="shared" si="35"/>
        <v>2016/05</v>
      </c>
      <c r="D493">
        <f t="shared" si="36"/>
        <v>2016</v>
      </c>
      <c r="E493" t="str">
        <f t="shared" si="37"/>
        <v/>
      </c>
      <c r="F493" s="2" t="str">
        <f t="shared" si="38"/>
        <v>INSERT INTO Master_Calendar (Date, Week, Month, Year, Holiday, XmlMeta) VALUES(N'2016-05-04', N'2016/19', N'2016/05', N'2016', N'', N'&lt;Root&gt;&lt;/Root&gt;')</v>
      </c>
    </row>
    <row r="494" spans="1:6" x14ac:dyDescent="0.25">
      <c r="A494" s="7">
        <v>42495</v>
      </c>
      <c r="B494" t="str">
        <f t="shared" si="39"/>
        <v>2016/19</v>
      </c>
      <c r="C494" t="str">
        <f t="shared" si="35"/>
        <v>2016/05</v>
      </c>
      <c r="D494">
        <f t="shared" si="36"/>
        <v>2016</v>
      </c>
      <c r="E494" t="str">
        <f t="shared" si="37"/>
        <v/>
      </c>
      <c r="F494" s="2" t="str">
        <f t="shared" si="38"/>
        <v>INSERT INTO Master_Calendar (Date, Week, Month, Year, Holiday, XmlMeta) VALUES(N'2016-05-05', N'2016/19', N'2016/05', N'2016', N'', N'&lt;Root&gt;&lt;/Root&gt;')</v>
      </c>
    </row>
    <row r="495" spans="1:6" x14ac:dyDescent="0.25">
      <c r="A495" s="7">
        <v>42496</v>
      </c>
      <c r="B495" t="str">
        <f t="shared" si="39"/>
        <v>2016/19</v>
      </c>
      <c r="C495" t="str">
        <f t="shared" si="35"/>
        <v>2016/05</v>
      </c>
      <c r="D495">
        <f t="shared" si="36"/>
        <v>2016</v>
      </c>
      <c r="E495" t="str">
        <f t="shared" si="37"/>
        <v/>
      </c>
      <c r="F495" s="2" t="str">
        <f t="shared" si="38"/>
        <v>INSERT INTO Master_Calendar (Date, Week, Month, Year, Holiday, XmlMeta) VALUES(N'2016-05-06', N'2016/19', N'2016/05', N'2016', N'', N'&lt;Root&gt;&lt;/Root&gt;')</v>
      </c>
    </row>
    <row r="496" spans="1:6" x14ac:dyDescent="0.25">
      <c r="A496" s="7">
        <v>42497</v>
      </c>
      <c r="B496" t="str">
        <f t="shared" si="39"/>
        <v>2016/19</v>
      </c>
      <c r="C496" t="str">
        <f t="shared" si="35"/>
        <v>2016/05</v>
      </c>
      <c r="D496">
        <f t="shared" si="36"/>
        <v>2016</v>
      </c>
      <c r="E496" t="str">
        <f t="shared" si="37"/>
        <v>Thứ 7</v>
      </c>
      <c r="F496" s="2" t="str">
        <f t="shared" si="38"/>
        <v>INSERT INTO Master_Calendar (Date, Week, Month, Year, Holiday, XmlMeta) VALUES(N'2016-05-07', N'2016/19', N'2016/05', N'2016', N'Thứ 7', N'&lt;Root&gt;&lt;/Root&gt;')</v>
      </c>
    </row>
    <row r="497" spans="1:6" x14ac:dyDescent="0.25">
      <c r="A497" s="7">
        <v>42498</v>
      </c>
      <c r="B497" t="str">
        <f t="shared" si="39"/>
        <v>2016/19</v>
      </c>
      <c r="C497" t="str">
        <f t="shared" si="35"/>
        <v>2016/05</v>
      </c>
      <c r="D497">
        <f t="shared" si="36"/>
        <v>2016</v>
      </c>
      <c r="E497" t="str">
        <f t="shared" si="37"/>
        <v>Chủ nhật</v>
      </c>
      <c r="F497" s="2" t="str">
        <f t="shared" si="38"/>
        <v>INSERT INTO Master_Calendar (Date, Week, Month, Year, Holiday, XmlMeta) VALUES(N'2016-05-08', N'2016/19', N'2016/05', N'2016', N'Chủ nhật', N'&lt;Root&gt;&lt;/Root&gt;')</v>
      </c>
    </row>
    <row r="498" spans="1:6" x14ac:dyDescent="0.25">
      <c r="A498" s="7">
        <v>42499</v>
      </c>
      <c r="B498" t="str">
        <f t="shared" si="39"/>
        <v>2016/20</v>
      </c>
      <c r="C498" t="str">
        <f t="shared" si="35"/>
        <v>2016/05</v>
      </c>
      <c r="D498">
        <f t="shared" si="36"/>
        <v>2016</v>
      </c>
      <c r="E498" t="str">
        <f t="shared" si="37"/>
        <v/>
      </c>
      <c r="F498" s="2" t="str">
        <f t="shared" si="38"/>
        <v>INSERT INTO Master_Calendar (Date, Week, Month, Year, Holiday, XmlMeta) VALUES(N'2016-05-09', N'2016/20', N'2016/05', N'2016', N'', N'&lt;Root&gt;&lt;/Root&gt;')</v>
      </c>
    </row>
    <row r="499" spans="1:6" x14ac:dyDescent="0.25">
      <c r="A499" s="7">
        <v>42500</v>
      </c>
      <c r="B499" t="str">
        <f t="shared" si="39"/>
        <v>2016/20</v>
      </c>
      <c r="C499" t="str">
        <f t="shared" si="35"/>
        <v>2016/05</v>
      </c>
      <c r="D499">
        <f t="shared" si="36"/>
        <v>2016</v>
      </c>
      <c r="E499" t="str">
        <f t="shared" si="37"/>
        <v/>
      </c>
      <c r="F499" s="2" t="str">
        <f t="shared" si="38"/>
        <v>INSERT INTO Master_Calendar (Date, Week, Month, Year, Holiday, XmlMeta) VALUES(N'2016-05-10', N'2016/20', N'2016/05', N'2016', N'', N'&lt;Root&gt;&lt;/Root&gt;')</v>
      </c>
    </row>
    <row r="500" spans="1:6" x14ac:dyDescent="0.25">
      <c r="A500" s="7">
        <v>42501</v>
      </c>
      <c r="B500" t="str">
        <f t="shared" si="39"/>
        <v>2016/20</v>
      </c>
      <c r="C500" t="str">
        <f t="shared" si="35"/>
        <v>2016/05</v>
      </c>
      <c r="D500">
        <f t="shared" si="36"/>
        <v>2016</v>
      </c>
      <c r="E500" t="str">
        <f t="shared" si="37"/>
        <v/>
      </c>
      <c r="F500" s="2" t="str">
        <f t="shared" si="38"/>
        <v>INSERT INTO Master_Calendar (Date, Week, Month, Year, Holiday, XmlMeta) VALUES(N'2016-05-11', N'2016/20', N'2016/05', N'2016', N'', N'&lt;Root&gt;&lt;/Root&gt;')</v>
      </c>
    </row>
    <row r="501" spans="1:6" x14ac:dyDescent="0.25">
      <c r="A501" s="7">
        <v>42502</v>
      </c>
      <c r="B501" t="str">
        <f t="shared" si="39"/>
        <v>2016/20</v>
      </c>
      <c r="C501" t="str">
        <f t="shared" si="35"/>
        <v>2016/05</v>
      </c>
      <c r="D501">
        <f t="shared" si="36"/>
        <v>2016</v>
      </c>
      <c r="E501" t="str">
        <f t="shared" si="37"/>
        <v/>
      </c>
      <c r="F501" s="2" t="str">
        <f t="shared" si="38"/>
        <v>INSERT INTO Master_Calendar (Date, Week, Month, Year, Holiday, XmlMeta) VALUES(N'2016-05-12', N'2016/20', N'2016/05', N'2016', N'', N'&lt;Root&gt;&lt;/Root&gt;')</v>
      </c>
    </row>
    <row r="502" spans="1:6" x14ac:dyDescent="0.25">
      <c r="A502" s="7">
        <v>42503</v>
      </c>
      <c r="B502" t="str">
        <f t="shared" si="39"/>
        <v>2016/20</v>
      </c>
      <c r="C502" t="str">
        <f t="shared" si="35"/>
        <v>2016/05</v>
      </c>
      <c r="D502">
        <f t="shared" si="36"/>
        <v>2016</v>
      </c>
      <c r="E502" t="str">
        <f t="shared" si="37"/>
        <v/>
      </c>
      <c r="F502" s="2" t="str">
        <f t="shared" si="38"/>
        <v>INSERT INTO Master_Calendar (Date, Week, Month, Year, Holiday, XmlMeta) VALUES(N'2016-05-13', N'2016/20', N'2016/05', N'2016', N'', N'&lt;Root&gt;&lt;/Root&gt;')</v>
      </c>
    </row>
    <row r="503" spans="1:6" x14ac:dyDescent="0.25">
      <c r="A503" s="7">
        <v>42504</v>
      </c>
      <c r="B503" t="str">
        <f t="shared" si="39"/>
        <v>2016/20</v>
      </c>
      <c r="C503" t="str">
        <f t="shared" si="35"/>
        <v>2016/05</v>
      </c>
      <c r="D503">
        <f t="shared" si="36"/>
        <v>2016</v>
      </c>
      <c r="E503" t="str">
        <f t="shared" si="37"/>
        <v>Thứ 7</v>
      </c>
      <c r="F503" s="2" t="str">
        <f t="shared" si="38"/>
        <v>INSERT INTO Master_Calendar (Date, Week, Month, Year, Holiday, XmlMeta) VALUES(N'2016-05-14', N'2016/20', N'2016/05', N'2016', N'Thứ 7', N'&lt;Root&gt;&lt;/Root&gt;')</v>
      </c>
    </row>
    <row r="504" spans="1:6" x14ac:dyDescent="0.25">
      <c r="A504" s="7">
        <v>42505</v>
      </c>
      <c r="B504" t="str">
        <f t="shared" si="39"/>
        <v>2016/20</v>
      </c>
      <c r="C504" t="str">
        <f t="shared" si="35"/>
        <v>2016/05</v>
      </c>
      <c r="D504">
        <f t="shared" si="36"/>
        <v>2016</v>
      </c>
      <c r="E504" t="str">
        <f t="shared" si="37"/>
        <v>Chủ nhật</v>
      </c>
      <c r="F504" s="2" t="str">
        <f t="shared" si="38"/>
        <v>INSERT INTO Master_Calendar (Date, Week, Month, Year, Holiday, XmlMeta) VALUES(N'2016-05-15', N'2016/20', N'2016/05', N'2016', N'Chủ nhật', N'&lt;Root&gt;&lt;/Root&gt;')</v>
      </c>
    </row>
    <row r="505" spans="1:6" x14ac:dyDescent="0.25">
      <c r="A505" s="7">
        <v>42506</v>
      </c>
      <c r="B505" t="str">
        <f t="shared" si="39"/>
        <v>2016/21</v>
      </c>
      <c r="C505" t="str">
        <f t="shared" si="35"/>
        <v>2016/05</v>
      </c>
      <c r="D505">
        <f t="shared" si="36"/>
        <v>2016</v>
      </c>
      <c r="E505" t="str">
        <f t="shared" si="37"/>
        <v/>
      </c>
      <c r="F505" s="2" t="str">
        <f t="shared" si="38"/>
        <v>INSERT INTO Master_Calendar (Date, Week, Month, Year, Holiday, XmlMeta) VALUES(N'2016-05-16', N'2016/21', N'2016/05', N'2016', N'', N'&lt;Root&gt;&lt;/Root&gt;')</v>
      </c>
    </row>
    <row r="506" spans="1:6" x14ac:dyDescent="0.25">
      <c r="A506" s="7">
        <v>42507</v>
      </c>
      <c r="B506" t="str">
        <f t="shared" si="39"/>
        <v>2016/21</v>
      </c>
      <c r="C506" t="str">
        <f t="shared" si="35"/>
        <v>2016/05</v>
      </c>
      <c r="D506">
        <f t="shared" si="36"/>
        <v>2016</v>
      </c>
      <c r="E506" t="str">
        <f t="shared" si="37"/>
        <v/>
      </c>
      <c r="F506" s="2" t="str">
        <f t="shared" si="38"/>
        <v>INSERT INTO Master_Calendar (Date, Week, Month, Year, Holiday, XmlMeta) VALUES(N'2016-05-17', N'2016/21', N'2016/05', N'2016', N'', N'&lt;Root&gt;&lt;/Root&gt;')</v>
      </c>
    </row>
    <row r="507" spans="1:6" x14ac:dyDescent="0.25">
      <c r="A507" s="7">
        <v>42508</v>
      </c>
      <c r="B507" t="str">
        <f t="shared" si="39"/>
        <v>2016/21</v>
      </c>
      <c r="C507" t="str">
        <f t="shared" si="35"/>
        <v>2016/05</v>
      </c>
      <c r="D507">
        <f t="shared" si="36"/>
        <v>2016</v>
      </c>
      <c r="E507" t="str">
        <f t="shared" si="37"/>
        <v/>
      </c>
      <c r="F507" s="2" t="str">
        <f t="shared" si="38"/>
        <v>INSERT INTO Master_Calendar (Date, Week, Month, Year, Holiday, XmlMeta) VALUES(N'2016-05-18', N'2016/21', N'2016/05', N'2016', N'', N'&lt;Root&gt;&lt;/Root&gt;')</v>
      </c>
    </row>
    <row r="508" spans="1:6" x14ac:dyDescent="0.25">
      <c r="A508" s="7">
        <v>42509</v>
      </c>
      <c r="B508" t="str">
        <f t="shared" si="39"/>
        <v>2016/21</v>
      </c>
      <c r="C508" t="str">
        <f t="shared" si="35"/>
        <v>2016/05</v>
      </c>
      <c r="D508">
        <f t="shared" si="36"/>
        <v>2016</v>
      </c>
      <c r="E508" t="str">
        <f t="shared" si="37"/>
        <v/>
      </c>
      <c r="F508" s="2" t="str">
        <f t="shared" si="38"/>
        <v>INSERT INTO Master_Calendar (Date, Week, Month, Year, Holiday, XmlMeta) VALUES(N'2016-05-19', N'2016/21', N'2016/05', N'2016', N'', N'&lt;Root&gt;&lt;/Root&gt;')</v>
      </c>
    </row>
    <row r="509" spans="1:6" x14ac:dyDescent="0.25">
      <c r="A509" s="7">
        <v>42510</v>
      </c>
      <c r="B509" t="str">
        <f t="shared" si="39"/>
        <v>2016/21</v>
      </c>
      <c r="C509" t="str">
        <f t="shared" si="35"/>
        <v>2016/05</v>
      </c>
      <c r="D509">
        <f t="shared" si="36"/>
        <v>2016</v>
      </c>
      <c r="E509" t="str">
        <f t="shared" si="37"/>
        <v/>
      </c>
      <c r="F509" s="2" t="str">
        <f t="shared" si="38"/>
        <v>INSERT INTO Master_Calendar (Date, Week, Month, Year, Holiday, XmlMeta) VALUES(N'2016-05-20', N'2016/21', N'2016/05', N'2016', N'', N'&lt;Root&gt;&lt;/Root&gt;')</v>
      </c>
    </row>
    <row r="510" spans="1:6" x14ac:dyDescent="0.25">
      <c r="A510" s="7">
        <v>42511</v>
      </c>
      <c r="B510" t="str">
        <f t="shared" si="39"/>
        <v>2016/21</v>
      </c>
      <c r="C510" t="str">
        <f t="shared" si="35"/>
        <v>2016/05</v>
      </c>
      <c r="D510">
        <f t="shared" si="36"/>
        <v>2016</v>
      </c>
      <c r="E510" t="str">
        <f t="shared" si="37"/>
        <v>Thứ 7</v>
      </c>
      <c r="F510" s="2" t="str">
        <f t="shared" si="38"/>
        <v>INSERT INTO Master_Calendar (Date, Week, Month, Year, Holiday, XmlMeta) VALUES(N'2016-05-21', N'2016/21', N'2016/05', N'2016', N'Thứ 7', N'&lt;Root&gt;&lt;/Root&gt;')</v>
      </c>
    </row>
    <row r="511" spans="1:6" x14ac:dyDescent="0.25">
      <c r="A511" s="7">
        <v>42512</v>
      </c>
      <c r="B511" t="str">
        <f t="shared" si="39"/>
        <v>2016/21</v>
      </c>
      <c r="C511" t="str">
        <f t="shared" si="35"/>
        <v>2016/05</v>
      </c>
      <c r="D511">
        <f t="shared" si="36"/>
        <v>2016</v>
      </c>
      <c r="E511" t="str">
        <f t="shared" si="37"/>
        <v>Chủ nhật</v>
      </c>
      <c r="F511" s="2" t="str">
        <f t="shared" si="38"/>
        <v>INSERT INTO Master_Calendar (Date, Week, Month, Year, Holiday, XmlMeta) VALUES(N'2016-05-22', N'2016/21', N'2016/05', N'2016', N'Chủ nhật', N'&lt;Root&gt;&lt;/Root&gt;')</v>
      </c>
    </row>
    <row r="512" spans="1:6" x14ac:dyDescent="0.25">
      <c r="A512" s="7">
        <v>42513</v>
      </c>
      <c r="B512" t="str">
        <f t="shared" si="39"/>
        <v>2016/22</v>
      </c>
      <c r="C512" t="str">
        <f t="shared" si="35"/>
        <v>2016/05</v>
      </c>
      <c r="D512">
        <f t="shared" si="36"/>
        <v>2016</v>
      </c>
      <c r="E512" t="str">
        <f t="shared" si="37"/>
        <v/>
      </c>
      <c r="F512" s="2" t="str">
        <f t="shared" si="38"/>
        <v>INSERT INTO Master_Calendar (Date, Week, Month, Year, Holiday, XmlMeta) VALUES(N'2016-05-23', N'2016/22', N'2016/05', N'2016', N'', N'&lt;Root&gt;&lt;/Root&gt;')</v>
      </c>
    </row>
    <row r="513" spans="1:6" x14ac:dyDescent="0.25">
      <c r="A513" s="7">
        <v>42514</v>
      </c>
      <c r="B513" t="str">
        <f t="shared" si="39"/>
        <v>2016/22</v>
      </c>
      <c r="C513" t="str">
        <f t="shared" si="35"/>
        <v>2016/05</v>
      </c>
      <c r="D513">
        <f t="shared" si="36"/>
        <v>2016</v>
      </c>
      <c r="E513" t="str">
        <f t="shared" si="37"/>
        <v/>
      </c>
      <c r="F513" s="2" t="str">
        <f t="shared" si="38"/>
        <v>INSERT INTO Master_Calendar (Date, Week, Month, Year, Holiday, XmlMeta) VALUES(N'2016-05-24', N'2016/22', N'2016/05', N'2016', N'', N'&lt;Root&gt;&lt;/Root&gt;')</v>
      </c>
    </row>
    <row r="514" spans="1:6" x14ac:dyDescent="0.25">
      <c r="A514" s="7">
        <v>42515</v>
      </c>
      <c r="B514" t="str">
        <f t="shared" si="39"/>
        <v>2016/22</v>
      </c>
      <c r="C514" t="str">
        <f t="shared" si="35"/>
        <v>2016/05</v>
      </c>
      <c r="D514">
        <f t="shared" si="36"/>
        <v>2016</v>
      </c>
      <c r="E514" t="str">
        <f t="shared" si="37"/>
        <v/>
      </c>
      <c r="F514" s="2" t="str">
        <f t="shared" si="38"/>
        <v>INSERT INTO Master_Calendar (Date, Week, Month, Year, Holiday, XmlMeta) VALUES(N'2016-05-25', N'2016/22', N'2016/05', N'2016', N'', N'&lt;Root&gt;&lt;/Root&gt;')</v>
      </c>
    </row>
    <row r="515" spans="1:6" x14ac:dyDescent="0.25">
      <c r="A515" s="7">
        <v>42516</v>
      </c>
      <c r="B515" t="str">
        <f t="shared" si="39"/>
        <v>2016/22</v>
      </c>
      <c r="C515" t="str">
        <f t="shared" si="35"/>
        <v>2016/05</v>
      </c>
      <c r="D515">
        <f t="shared" si="36"/>
        <v>2016</v>
      </c>
      <c r="E515" t="str">
        <f t="shared" si="37"/>
        <v/>
      </c>
      <c r="F515" s="2" t="str">
        <f t="shared" si="38"/>
        <v>INSERT INTO Master_Calendar (Date, Week, Month, Year, Holiday, XmlMeta) VALUES(N'2016-05-26', N'2016/22', N'2016/05', N'2016', N'', N'&lt;Root&gt;&lt;/Root&gt;')</v>
      </c>
    </row>
    <row r="516" spans="1:6" x14ac:dyDescent="0.25">
      <c r="A516" s="7">
        <v>42517</v>
      </c>
      <c r="B516" t="str">
        <f t="shared" si="39"/>
        <v>2016/22</v>
      </c>
      <c r="C516" t="str">
        <f t="shared" si="35"/>
        <v>2016/05</v>
      </c>
      <c r="D516">
        <f t="shared" si="36"/>
        <v>2016</v>
      </c>
      <c r="E516" t="str">
        <f t="shared" si="37"/>
        <v/>
      </c>
      <c r="F516" s="2" t="str">
        <f t="shared" si="38"/>
        <v>INSERT INTO Master_Calendar (Date, Week, Month, Year, Holiday, XmlMeta) VALUES(N'2016-05-27', N'2016/22', N'2016/05', N'2016', N'', N'&lt;Root&gt;&lt;/Root&gt;')</v>
      </c>
    </row>
    <row r="517" spans="1:6" x14ac:dyDescent="0.25">
      <c r="A517" s="7">
        <v>42518</v>
      </c>
      <c r="B517" t="str">
        <f t="shared" si="39"/>
        <v>2016/22</v>
      </c>
      <c r="C517" t="str">
        <f t="shared" ref="C517:C580" si="40">YEAR(A517)&amp;"/"&amp;RIGHT("00"&amp;MONTH(A517),2)</f>
        <v>2016/05</v>
      </c>
      <c r="D517">
        <f t="shared" ref="D517:D580" si="41">YEAR(A517)</f>
        <v>2016</v>
      </c>
      <c r="E517" t="str">
        <f t="shared" ref="E517:E580" si="42">IF(WEEKDAY(A517)=1, "Chủ nhật", IF(WEEKDAY(A517)=7, "Thứ 7", ""))</f>
        <v>Thứ 7</v>
      </c>
      <c r="F517" s="2" t="str">
        <f t="shared" ref="F517:F580" si="43">"INSERT INTO "&amp;$B$1&amp;" ("&amp;$A$3&amp;", "&amp;$B$3&amp;", "&amp;$C$3&amp;", "&amp;$D$3&amp;", "&amp;$E$3&amp;", XmlMeta) VALUES(N'"&amp;TEXT(A517, "yyyy-MM-dd")&amp;"', N'"&amp;B517&amp;"', N'"&amp;C517&amp;"', N'"&amp;D517&amp;"', N'"&amp;E517&amp;"', N'&lt;Root&gt;&lt;/Root&gt;')"</f>
        <v>INSERT INTO Master_Calendar (Date, Week, Month, Year, Holiday, XmlMeta) VALUES(N'2016-05-28', N'2016/22', N'2016/05', N'2016', N'Thứ 7', N'&lt;Root&gt;&lt;/Root&gt;')</v>
      </c>
    </row>
    <row r="518" spans="1:6" x14ac:dyDescent="0.25">
      <c r="A518" s="7">
        <v>42519</v>
      </c>
      <c r="B518" t="str">
        <f t="shared" ref="B518:B581" si="44">YEAR(A518) &amp; "/" &amp; RIGHT("00" &amp; IF(WEEKNUM(A518, 2) &gt; 52, 52, WEEKNUM(A518, 2)), 2)</f>
        <v>2016/22</v>
      </c>
      <c r="C518" t="str">
        <f t="shared" si="40"/>
        <v>2016/05</v>
      </c>
      <c r="D518">
        <f t="shared" si="41"/>
        <v>2016</v>
      </c>
      <c r="E518" t="str">
        <f t="shared" si="42"/>
        <v>Chủ nhật</v>
      </c>
      <c r="F518" s="2" t="str">
        <f t="shared" si="43"/>
        <v>INSERT INTO Master_Calendar (Date, Week, Month, Year, Holiday, XmlMeta) VALUES(N'2016-05-29', N'2016/22', N'2016/05', N'2016', N'Chủ nhật', N'&lt;Root&gt;&lt;/Root&gt;')</v>
      </c>
    </row>
    <row r="519" spans="1:6" x14ac:dyDescent="0.25">
      <c r="A519" s="7">
        <v>42520</v>
      </c>
      <c r="B519" t="str">
        <f t="shared" si="44"/>
        <v>2016/23</v>
      </c>
      <c r="C519" t="str">
        <f t="shared" si="40"/>
        <v>2016/05</v>
      </c>
      <c r="D519">
        <f t="shared" si="41"/>
        <v>2016</v>
      </c>
      <c r="E519" t="str">
        <f t="shared" si="42"/>
        <v/>
      </c>
      <c r="F519" s="2" t="str">
        <f t="shared" si="43"/>
        <v>INSERT INTO Master_Calendar (Date, Week, Month, Year, Holiday, XmlMeta) VALUES(N'2016-05-30', N'2016/23', N'2016/05', N'2016', N'', N'&lt;Root&gt;&lt;/Root&gt;')</v>
      </c>
    </row>
    <row r="520" spans="1:6" x14ac:dyDescent="0.25">
      <c r="A520" s="7">
        <v>42521</v>
      </c>
      <c r="B520" t="str">
        <f t="shared" si="44"/>
        <v>2016/23</v>
      </c>
      <c r="C520" t="str">
        <f t="shared" si="40"/>
        <v>2016/05</v>
      </c>
      <c r="D520">
        <f t="shared" si="41"/>
        <v>2016</v>
      </c>
      <c r="E520" t="str">
        <f t="shared" si="42"/>
        <v/>
      </c>
      <c r="F520" s="2" t="str">
        <f t="shared" si="43"/>
        <v>INSERT INTO Master_Calendar (Date, Week, Month, Year, Holiday, XmlMeta) VALUES(N'2016-05-31', N'2016/23', N'2016/05', N'2016', N'', N'&lt;Root&gt;&lt;/Root&gt;')</v>
      </c>
    </row>
    <row r="521" spans="1:6" x14ac:dyDescent="0.25">
      <c r="A521" s="7">
        <v>42522</v>
      </c>
      <c r="B521" t="str">
        <f t="shared" si="44"/>
        <v>2016/23</v>
      </c>
      <c r="C521" t="str">
        <f t="shared" si="40"/>
        <v>2016/06</v>
      </c>
      <c r="D521">
        <f t="shared" si="41"/>
        <v>2016</v>
      </c>
      <c r="E521" t="str">
        <f t="shared" si="42"/>
        <v/>
      </c>
      <c r="F521" s="2" t="str">
        <f t="shared" si="43"/>
        <v>INSERT INTO Master_Calendar (Date, Week, Month, Year, Holiday, XmlMeta) VALUES(N'2016-06-01', N'2016/23', N'2016/06', N'2016', N'', N'&lt;Root&gt;&lt;/Root&gt;')</v>
      </c>
    </row>
    <row r="522" spans="1:6" x14ac:dyDescent="0.25">
      <c r="A522" s="7">
        <v>42523</v>
      </c>
      <c r="B522" t="str">
        <f t="shared" si="44"/>
        <v>2016/23</v>
      </c>
      <c r="C522" t="str">
        <f t="shared" si="40"/>
        <v>2016/06</v>
      </c>
      <c r="D522">
        <f t="shared" si="41"/>
        <v>2016</v>
      </c>
      <c r="E522" t="str">
        <f t="shared" si="42"/>
        <v/>
      </c>
      <c r="F522" s="2" t="str">
        <f t="shared" si="43"/>
        <v>INSERT INTO Master_Calendar (Date, Week, Month, Year, Holiday, XmlMeta) VALUES(N'2016-06-02', N'2016/23', N'2016/06', N'2016', N'', N'&lt;Root&gt;&lt;/Root&gt;')</v>
      </c>
    </row>
    <row r="523" spans="1:6" x14ac:dyDescent="0.25">
      <c r="A523" s="7">
        <v>42524</v>
      </c>
      <c r="B523" t="str">
        <f t="shared" si="44"/>
        <v>2016/23</v>
      </c>
      <c r="C523" t="str">
        <f t="shared" si="40"/>
        <v>2016/06</v>
      </c>
      <c r="D523">
        <f t="shared" si="41"/>
        <v>2016</v>
      </c>
      <c r="E523" t="str">
        <f t="shared" si="42"/>
        <v/>
      </c>
      <c r="F523" s="2" t="str">
        <f t="shared" si="43"/>
        <v>INSERT INTO Master_Calendar (Date, Week, Month, Year, Holiday, XmlMeta) VALUES(N'2016-06-03', N'2016/23', N'2016/06', N'2016', N'', N'&lt;Root&gt;&lt;/Root&gt;')</v>
      </c>
    </row>
    <row r="524" spans="1:6" x14ac:dyDescent="0.25">
      <c r="A524" s="7">
        <v>42525</v>
      </c>
      <c r="B524" t="str">
        <f t="shared" si="44"/>
        <v>2016/23</v>
      </c>
      <c r="C524" t="str">
        <f t="shared" si="40"/>
        <v>2016/06</v>
      </c>
      <c r="D524">
        <f t="shared" si="41"/>
        <v>2016</v>
      </c>
      <c r="E524" t="str">
        <f t="shared" si="42"/>
        <v>Thứ 7</v>
      </c>
      <c r="F524" s="2" t="str">
        <f t="shared" si="43"/>
        <v>INSERT INTO Master_Calendar (Date, Week, Month, Year, Holiday, XmlMeta) VALUES(N'2016-06-04', N'2016/23', N'2016/06', N'2016', N'Thứ 7', N'&lt;Root&gt;&lt;/Root&gt;')</v>
      </c>
    </row>
    <row r="525" spans="1:6" x14ac:dyDescent="0.25">
      <c r="A525" s="7">
        <v>42526</v>
      </c>
      <c r="B525" t="str">
        <f t="shared" si="44"/>
        <v>2016/23</v>
      </c>
      <c r="C525" t="str">
        <f t="shared" si="40"/>
        <v>2016/06</v>
      </c>
      <c r="D525">
        <f t="shared" si="41"/>
        <v>2016</v>
      </c>
      <c r="E525" t="str">
        <f t="shared" si="42"/>
        <v>Chủ nhật</v>
      </c>
      <c r="F525" s="2" t="str">
        <f t="shared" si="43"/>
        <v>INSERT INTO Master_Calendar (Date, Week, Month, Year, Holiday, XmlMeta) VALUES(N'2016-06-05', N'2016/23', N'2016/06', N'2016', N'Chủ nhật', N'&lt;Root&gt;&lt;/Root&gt;')</v>
      </c>
    </row>
    <row r="526" spans="1:6" x14ac:dyDescent="0.25">
      <c r="A526" s="7">
        <v>42527</v>
      </c>
      <c r="B526" t="str">
        <f t="shared" si="44"/>
        <v>2016/24</v>
      </c>
      <c r="C526" t="str">
        <f t="shared" si="40"/>
        <v>2016/06</v>
      </c>
      <c r="D526">
        <f t="shared" si="41"/>
        <v>2016</v>
      </c>
      <c r="E526" t="str">
        <f t="shared" si="42"/>
        <v/>
      </c>
      <c r="F526" s="2" t="str">
        <f t="shared" si="43"/>
        <v>INSERT INTO Master_Calendar (Date, Week, Month, Year, Holiday, XmlMeta) VALUES(N'2016-06-06', N'2016/24', N'2016/06', N'2016', N'', N'&lt;Root&gt;&lt;/Root&gt;')</v>
      </c>
    </row>
    <row r="527" spans="1:6" x14ac:dyDescent="0.25">
      <c r="A527" s="7">
        <v>42528</v>
      </c>
      <c r="B527" t="str">
        <f t="shared" si="44"/>
        <v>2016/24</v>
      </c>
      <c r="C527" t="str">
        <f t="shared" si="40"/>
        <v>2016/06</v>
      </c>
      <c r="D527">
        <f t="shared" si="41"/>
        <v>2016</v>
      </c>
      <c r="E527" t="str">
        <f t="shared" si="42"/>
        <v/>
      </c>
      <c r="F527" s="2" t="str">
        <f t="shared" si="43"/>
        <v>INSERT INTO Master_Calendar (Date, Week, Month, Year, Holiday, XmlMeta) VALUES(N'2016-06-07', N'2016/24', N'2016/06', N'2016', N'', N'&lt;Root&gt;&lt;/Root&gt;')</v>
      </c>
    </row>
    <row r="528" spans="1:6" x14ac:dyDescent="0.25">
      <c r="A528" s="7">
        <v>42529</v>
      </c>
      <c r="B528" t="str">
        <f t="shared" si="44"/>
        <v>2016/24</v>
      </c>
      <c r="C528" t="str">
        <f t="shared" si="40"/>
        <v>2016/06</v>
      </c>
      <c r="D528">
        <f t="shared" si="41"/>
        <v>2016</v>
      </c>
      <c r="E528" t="str">
        <f t="shared" si="42"/>
        <v/>
      </c>
      <c r="F528" s="2" t="str">
        <f t="shared" si="43"/>
        <v>INSERT INTO Master_Calendar (Date, Week, Month, Year, Holiday, XmlMeta) VALUES(N'2016-06-08', N'2016/24', N'2016/06', N'2016', N'', N'&lt;Root&gt;&lt;/Root&gt;')</v>
      </c>
    </row>
    <row r="529" spans="1:6" x14ac:dyDescent="0.25">
      <c r="A529" s="7">
        <v>42530</v>
      </c>
      <c r="B529" t="str">
        <f t="shared" si="44"/>
        <v>2016/24</v>
      </c>
      <c r="C529" t="str">
        <f t="shared" si="40"/>
        <v>2016/06</v>
      </c>
      <c r="D529">
        <f t="shared" si="41"/>
        <v>2016</v>
      </c>
      <c r="E529" t="str">
        <f t="shared" si="42"/>
        <v/>
      </c>
      <c r="F529" s="2" t="str">
        <f t="shared" si="43"/>
        <v>INSERT INTO Master_Calendar (Date, Week, Month, Year, Holiday, XmlMeta) VALUES(N'2016-06-09', N'2016/24', N'2016/06', N'2016', N'', N'&lt;Root&gt;&lt;/Root&gt;')</v>
      </c>
    </row>
    <row r="530" spans="1:6" x14ac:dyDescent="0.25">
      <c r="A530" s="7">
        <v>42531</v>
      </c>
      <c r="B530" t="str">
        <f t="shared" si="44"/>
        <v>2016/24</v>
      </c>
      <c r="C530" t="str">
        <f t="shared" si="40"/>
        <v>2016/06</v>
      </c>
      <c r="D530">
        <f t="shared" si="41"/>
        <v>2016</v>
      </c>
      <c r="E530" t="str">
        <f t="shared" si="42"/>
        <v/>
      </c>
      <c r="F530" s="2" t="str">
        <f t="shared" si="43"/>
        <v>INSERT INTO Master_Calendar (Date, Week, Month, Year, Holiday, XmlMeta) VALUES(N'2016-06-10', N'2016/24', N'2016/06', N'2016', N'', N'&lt;Root&gt;&lt;/Root&gt;')</v>
      </c>
    </row>
    <row r="531" spans="1:6" x14ac:dyDescent="0.25">
      <c r="A531" s="7">
        <v>42532</v>
      </c>
      <c r="B531" t="str">
        <f t="shared" si="44"/>
        <v>2016/24</v>
      </c>
      <c r="C531" t="str">
        <f t="shared" si="40"/>
        <v>2016/06</v>
      </c>
      <c r="D531">
        <f t="shared" si="41"/>
        <v>2016</v>
      </c>
      <c r="E531" t="str">
        <f t="shared" si="42"/>
        <v>Thứ 7</v>
      </c>
      <c r="F531" s="2" t="str">
        <f t="shared" si="43"/>
        <v>INSERT INTO Master_Calendar (Date, Week, Month, Year, Holiday, XmlMeta) VALUES(N'2016-06-11', N'2016/24', N'2016/06', N'2016', N'Thứ 7', N'&lt;Root&gt;&lt;/Root&gt;')</v>
      </c>
    </row>
    <row r="532" spans="1:6" x14ac:dyDescent="0.25">
      <c r="A532" s="7">
        <v>42533</v>
      </c>
      <c r="B532" t="str">
        <f t="shared" si="44"/>
        <v>2016/24</v>
      </c>
      <c r="C532" t="str">
        <f t="shared" si="40"/>
        <v>2016/06</v>
      </c>
      <c r="D532">
        <f t="shared" si="41"/>
        <v>2016</v>
      </c>
      <c r="E532" t="str">
        <f t="shared" si="42"/>
        <v>Chủ nhật</v>
      </c>
      <c r="F532" s="2" t="str">
        <f t="shared" si="43"/>
        <v>INSERT INTO Master_Calendar (Date, Week, Month, Year, Holiday, XmlMeta) VALUES(N'2016-06-12', N'2016/24', N'2016/06', N'2016', N'Chủ nhật', N'&lt;Root&gt;&lt;/Root&gt;')</v>
      </c>
    </row>
    <row r="533" spans="1:6" x14ac:dyDescent="0.25">
      <c r="A533" s="7">
        <v>42534</v>
      </c>
      <c r="B533" t="str">
        <f t="shared" si="44"/>
        <v>2016/25</v>
      </c>
      <c r="C533" t="str">
        <f t="shared" si="40"/>
        <v>2016/06</v>
      </c>
      <c r="D533">
        <f t="shared" si="41"/>
        <v>2016</v>
      </c>
      <c r="E533" t="str">
        <f t="shared" si="42"/>
        <v/>
      </c>
      <c r="F533" s="2" t="str">
        <f t="shared" si="43"/>
        <v>INSERT INTO Master_Calendar (Date, Week, Month, Year, Holiday, XmlMeta) VALUES(N'2016-06-13', N'2016/25', N'2016/06', N'2016', N'', N'&lt;Root&gt;&lt;/Root&gt;')</v>
      </c>
    </row>
    <row r="534" spans="1:6" x14ac:dyDescent="0.25">
      <c r="A534" s="7">
        <v>42535</v>
      </c>
      <c r="B534" t="str">
        <f t="shared" si="44"/>
        <v>2016/25</v>
      </c>
      <c r="C534" t="str">
        <f t="shared" si="40"/>
        <v>2016/06</v>
      </c>
      <c r="D534">
        <f t="shared" si="41"/>
        <v>2016</v>
      </c>
      <c r="E534" t="str">
        <f t="shared" si="42"/>
        <v/>
      </c>
      <c r="F534" s="2" t="str">
        <f t="shared" si="43"/>
        <v>INSERT INTO Master_Calendar (Date, Week, Month, Year, Holiday, XmlMeta) VALUES(N'2016-06-14', N'2016/25', N'2016/06', N'2016', N'', N'&lt;Root&gt;&lt;/Root&gt;')</v>
      </c>
    </row>
    <row r="535" spans="1:6" x14ac:dyDescent="0.25">
      <c r="A535" s="7">
        <v>42536</v>
      </c>
      <c r="B535" t="str">
        <f t="shared" si="44"/>
        <v>2016/25</v>
      </c>
      <c r="C535" t="str">
        <f t="shared" si="40"/>
        <v>2016/06</v>
      </c>
      <c r="D535">
        <f t="shared" si="41"/>
        <v>2016</v>
      </c>
      <c r="E535" t="str">
        <f t="shared" si="42"/>
        <v/>
      </c>
      <c r="F535" s="2" t="str">
        <f t="shared" si="43"/>
        <v>INSERT INTO Master_Calendar (Date, Week, Month, Year, Holiday, XmlMeta) VALUES(N'2016-06-15', N'2016/25', N'2016/06', N'2016', N'', N'&lt;Root&gt;&lt;/Root&gt;')</v>
      </c>
    </row>
    <row r="536" spans="1:6" x14ac:dyDescent="0.25">
      <c r="A536" s="7">
        <v>42537</v>
      </c>
      <c r="B536" t="str">
        <f t="shared" si="44"/>
        <v>2016/25</v>
      </c>
      <c r="C536" t="str">
        <f t="shared" si="40"/>
        <v>2016/06</v>
      </c>
      <c r="D536">
        <f t="shared" si="41"/>
        <v>2016</v>
      </c>
      <c r="E536" t="str">
        <f t="shared" si="42"/>
        <v/>
      </c>
      <c r="F536" s="2" t="str">
        <f t="shared" si="43"/>
        <v>INSERT INTO Master_Calendar (Date, Week, Month, Year, Holiday, XmlMeta) VALUES(N'2016-06-16', N'2016/25', N'2016/06', N'2016', N'', N'&lt;Root&gt;&lt;/Root&gt;')</v>
      </c>
    </row>
    <row r="537" spans="1:6" x14ac:dyDescent="0.25">
      <c r="A537" s="7">
        <v>42538</v>
      </c>
      <c r="B537" t="str">
        <f t="shared" si="44"/>
        <v>2016/25</v>
      </c>
      <c r="C537" t="str">
        <f t="shared" si="40"/>
        <v>2016/06</v>
      </c>
      <c r="D537">
        <f t="shared" si="41"/>
        <v>2016</v>
      </c>
      <c r="E537" t="str">
        <f t="shared" si="42"/>
        <v/>
      </c>
      <c r="F537" s="2" t="str">
        <f t="shared" si="43"/>
        <v>INSERT INTO Master_Calendar (Date, Week, Month, Year, Holiday, XmlMeta) VALUES(N'2016-06-17', N'2016/25', N'2016/06', N'2016', N'', N'&lt;Root&gt;&lt;/Root&gt;')</v>
      </c>
    </row>
    <row r="538" spans="1:6" x14ac:dyDescent="0.25">
      <c r="A538" s="7">
        <v>42539</v>
      </c>
      <c r="B538" t="str">
        <f t="shared" si="44"/>
        <v>2016/25</v>
      </c>
      <c r="C538" t="str">
        <f t="shared" si="40"/>
        <v>2016/06</v>
      </c>
      <c r="D538">
        <f t="shared" si="41"/>
        <v>2016</v>
      </c>
      <c r="E538" t="str">
        <f t="shared" si="42"/>
        <v>Thứ 7</v>
      </c>
      <c r="F538" s="2" t="str">
        <f t="shared" si="43"/>
        <v>INSERT INTO Master_Calendar (Date, Week, Month, Year, Holiday, XmlMeta) VALUES(N'2016-06-18', N'2016/25', N'2016/06', N'2016', N'Thứ 7', N'&lt;Root&gt;&lt;/Root&gt;')</v>
      </c>
    </row>
    <row r="539" spans="1:6" x14ac:dyDescent="0.25">
      <c r="A539" s="7">
        <v>42540</v>
      </c>
      <c r="B539" t="str">
        <f t="shared" si="44"/>
        <v>2016/25</v>
      </c>
      <c r="C539" t="str">
        <f t="shared" si="40"/>
        <v>2016/06</v>
      </c>
      <c r="D539">
        <f t="shared" si="41"/>
        <v>2016</v>
      </c>
      <c r="E539" t="str">
        <f t="shared" si="42"/>
        <v>Chủ nhật</v>
      </c>
      <c r="F539" s="2" t="str">
        <f t="shared" si="43"/>
        <v>INSERT INTO Master_Calendar (Date, Week, Month, Year, Holiday, XmlMeta) VALUES(N'2016-06-19', N'2016/25', N'2016/06', N'2016', N'Chủ nhật', N'&lt;Root&gt;&lt;/Root&gt;')</v>
      </c>
    </row>
    <row r="540" spans="1:6" x14ac:dyDescent="0.25">
      <c r="A540" s="7">
        <v>42541</v>
      </c>
      <c r="B540" t="str">
        <f t="shared" si="44"/>
        <v>2016/26</v>
      </c>
      <c r="C540" t="str">
        <f t="shared" si="40"/>
        <v>2016/06</v>
      </c>
      <c r="D540">
        <f t="shared" si="41"/>
        <v>2016</v>
      </c>
      <c r="E540" t="str">
        <f t="shared" si="42"/>
        <v/>
      </c>
      <c r="F540" s="2" t="str">
        <f t="shared" si="43"/>
        <v>INSERT INTO Master_Calendar (Date, Week, Month, Year, Holiday, XmlMeta) VALUES(N'2016-06-20', N'2016/26', N'2016/06', N'2016', N'', N'&lt;Root&gt;&lt;/Root&gt;')</v>
      </c>
    </row>
    <row r="541" spans="1:6" x14ac:dyDescent="0.25">
      <c r="A541" s="7">
        <v>42542</v>
      </c>
      <c r="B541" t="str">
        <f t="shared" si="44"/>
        <v>2016/26</v>
      </c>
      <c r="C541" t="str">
        <f t="shared" si="40"/>
        <v>2016/06</v>
      </c>
      <c r="D541">
        <f t="shared" si="41"/>
        <v>2016</v>
      </c>
      <c r="E541" t="str">
        <f t="shared" si="42"/>
        <v/>
      </c>
      <c r="F541" s="2" t="str">
        <f t="shared" si="43"/>
        <v>INSERT INTO Master_Calendar (Date, Week, Month, Year, Holiday, XmlMeta) VALUES(N'2016-06-21', N'2016/26', N'2016/06', N'2016', N'', N'&lt;Root&gt;&lt;/Root&gt;')</v>
      </c>
    </row>
    <row r="542" spans="1:6" x14ac:dyDescent="0.25">
      <c r="A542" s="7">
        <v>42543</v>
      </c>
      <c r="B542" t="str">
        <f t="shared" si="44"/>
        <v>2016/26</v>
      </c>
      <c r="C542" t="str">
        <f t="shared" si="40"/>
        <v>2016/06</v>
      </c>
      <c r="D542">
        <f t="shared" si="41"/>
        <v>2016</v>
      </c>
      <c r="E542" t="str">
        <f t="shared" si="42"/>
        <v/>
      </c>
      <c r="F542" s="2" t="str">
        <f t="shared" si="43"/>
        <v>INSERT INTO Master_Calendar (Date, Week, Month, Year, Holiday, XmlMeta) VALUES(N'2016-06-22', N'2016/26', N'2016/06', N'2016', N'', N'&lt;Root&gt;&lt;/Root&gt;')</v>
      </c>
    </row>
    <row r="543" spans="1:6" x14ac:dyDescent="0.25">
      <c r="A543" s="7">
        <v>42544</v>
      </c>
      <c r="B543" t="str">
        <f t="shared" si="44"/>
        <v>2016/26</v>
      </c>
      <c r="C543" t="str">
        <f t="shared" si="40"/>
        <v>2016/06</v>
      </c>
      <c r="D543">
        <f t="shared" si="41"/>
        <v>2016</v>
      </c>
      <c r="E543" t="str">
        <f t="shared" si="42"/>
        <v/>
      </c>
      <c r="F543" s="2" t="str">
        <f t="shared" si="43"/>
        <v>INSERT INTO Master_Calendar (Date, Week, Month, Year, Holiday, XmlMeta) VALUES(N'2016-06-23', N'2016/26', N'2016/06', N'2016', N'', N'&lt;Root&gt;&lt;/Root&gt;')</v>
      </c>
    </row>
    <row r="544" spans="1:6" x14ac:dyDescent="0.25">
      <c r="A544" s="7">
        <v>42545</v>
      </c>
      <c r="B544" t="str">
        <f t="shared" si="44"/>
        <v>2016/26</v>
      </c>
      <c r="C544" t="str">
        <f t="shared" si="40"/>
        <v>2016/06</v>
      </c>
      <c r="D544">
        <f t="shared" si="41"/>
        <v>2016</v>
      </c>
      <c r="E544" t="str">
        <f t="shared" si="42"/>
        <v/>
      </c>
      <c r="F544" s="2" t="str">
        <f t="shared" si="43"/>
        <v>INSERT INTO Master_Calendar (Date, Week, Month, Year, Holiday, XmlMeta) VALUES(N'2016-06-24', N'2016/26', N'2016/06', N'2016', N'', N'&lt;Root&gt;&lt;/Root&gt;')</v>
      </c>
    </row>
    <row r="545" spans="1:6" x14ac:dyDescent="0.25">
      <c r="A545" s="7">
        <v>42546</v>
      </c>
      <c r="B545" t="str">
        <f t="shared" si="44"/>
        <v>2016/26</v>
      </c>
      <c r="C545" t="str">
        <f t="shared" si="40"/>
        <v>2016/06</v>
      </c>
      <c r="D545">
        <f t="shared" si="41"/>
        <v>2016</v>
      </c>
      <c r="E545" t="str">
        <f t="shared" si="42"/>
        <v>Thứ 7</v>
      </c>
      <c r="F545" s="2" t="str">
        <f t="shared" si="43"/>
        <v>INSERT INTO Master_Calendar (Date, Week, Month, Year, Holiday, XmlMeta) VALUES(N'2016-06-25', N'2016/26', N'2016/06', N'2016', N'Thứ 7', N'&lt;Root&gt;&lt;/Root&gt;')</v>
      </c>
    </row>
    <row r="546" spans="1:6" x14ac:dyDescent="0.25">
      <c r="A546" s="7">
        <v>42547</v>
      </c>
      <c r="B546" t="str">
        <f t="shared" si="44"/>
        <v>2016/26</v>
      </c>
      <c r="C546" t="str">
        <f t="shared" si="40"/>
        <v>2016/06</v>
      </c>
      <c r="D546">
        <f t="shared" si="41"/>
        <v>2016</v>
      </c>
      <c r="E546" t="str">
        <f t="shared" si="42"/>
        <v>Chủ nhật</v>
      </c>
      <c r="F546" s="2" t="str">
        <f t="shared" si="43"/>
        <v>INSERT INTO Master_Calendar (Date, Week, Month, Year, Holiday, XmlMeta) VALUES(N'2016-06-26', N'2016/26', N'2016/06', N'2016', N'Chủ nhật', N'&lt;Root&gt;&lt;/Root&gt;')</v>
      </c>
    </row>
    <row r="547" spans="1:6" x14ac:dyDescent="0.25">
      <c r="A547" s="7">
        <v>42548</v>
      </c>
      <c r="B547" t="str">
        <f t="shared" si="44"/>
        <v>2016/27</v>
      </c>
      <c r="C547" t="str">
        <f t="shared" si="40"/>
        <v>2016/06</v>
      </c>
      <c r="D547">
        <f t="shared" si="41"/>
        <v>2016</v>
      </c>
      <c r="E547" t="str">
        <f t="shared" si="42"/>
        <v/>
      </c>
      <c r="F547" s="2" t="str">
        <f t="shared" si="43"/>
        <v>INSERT INTO Master_Calendar (Date, Week, Month, Year, Holiday, XmlMeta) VALUES(N'2016-06-27', N'2016/27', N'2016/06', N'2016', N'', N'&lt;Root&gt;&lt;/Root&gt;')</v>
      </c>
    </row>
    <row r="548" spans="1:6" x14ac:dyDescent="0.25">
      <c r="A548" s="7">
        <v>42549</v>
      </c>
      <c r="B548" t="str">
        <f t="shared" si="44"/>
        <v>2016/27</v>
      </c>
      <c r="C548" t="str">
        <f t="shared" si="40"/>
        <v>2016/06</v>
      </c>
      <c r="D548">
        <f t="shared" si="41"/>
        <v>2016</v>
      </c>
      <c r="E548" t="str">
        <f t="shared" si="42"/>
        <v/>
      </c>
      <c r="F548" s="2" t="str">
        <f t="shared" si="43"/>
        <v>INSERT INTO Master_Calendar (Date, Week, Month, Year, Holiday, XmlMeta) VALUES(N'2016-06-28', N'2016/27', N'2016/06', N'2016', N'', N'&lt;Root&gt;&lt;/Root&gt;')</v>
      </c>
    </row>
    <row r="549" spans="1:6" x14ac:dyDescent="0.25">
      <c r="A549" s="7">
        <v>42550</v>
      </c>
      <c r="B549" t="str">
        <f t="shared" si="44"/>
        <v>2016/27</v>
      </c>
      <c r="C549" t="str">
        <f t="shared" si="40"/>
        <v>2016/06</v>
      </c>
      <c r="D549">
        <f t="shared" si="41"/>
        <v>2016</v>
      </c>
      <c r="E549" t="str">
        <f t="shared" si="42"/>
        <v/>
      </c>
      <c r="F549" s="2" t="str">
        <f t="shared" si="43"/>
        <v>INSERT INTO Master_Calendar (Date, Week, Month, Year, Holiday, XmlMeta) VALUES(N'2016-06-29', N'2016/27', N'2016/06', N'2016', N'', N'&lt;Root&gt;&lt;/Root&gt;')</v>
      </c>
    </row>
    <row r="550" spans="1:6" x14ac:dyDescent="0.25">
      <c r="A550" s="7">
        <v>42551</v>
      </c>
      <c r="B550" t="str">
        <f t="shared" si="44"/>
        <v>2016/27</v>
      </c>
      <c r="C550" t="str">
        <f t="shared" si="40"/>
        <v>2016/06</v>
      </c>
      <c r="D550">
        <f t="shared" si="41"/>
        <v>2016</v>
      </c>
      <c r="E550" t="str">
        <f t="shared" si="42"/>
        <v/>
      </c>
      <c r="F550" s="2" t="str">
        <f t="shared" si="43"/>
        <v>INSERT INTO Master_Calendar (Date, Week, Month, Year, Holiday, XmlMeta) VALUES(N'2016-06-30', N'2016/27', N'2016/06', N'2016', N'', N'&lt;Root&gt;&lt;/Root&gt;')</v>
      </c>
    </row>
    <row r="551" spans="1:6" x14ac:dyDescent="0.25">
      <c r="A551" s="7">
        <v>42552</v>
      </c>
      <c r="B551" t="str">
        <f t="shared" si="44"/>
        <v>2016/27</v>
      </c>
      <c r="C551" t="str">
        <f t="shared" si="40"/>
        <v>2016/07</v>
      </c>
      <c r="D551">
        <f t="shared" si="41"/>
        <v>2016</v>
      </c>
      <c r="E551" t="str">
        <f t="shared" si="42"/>
        <v/>
      </c>
      <c r="F551" s="2" t="str">
        <f t="shared" si="43"/>
        <v>INSERT INTO Master_Calendar (Date, Week, Month, Year, Holiday, XmlMeta) VALUES(N'2016-07-01', N'2016/27', N'2016/07', N'2016', N'', N'&lt;Root&gt;&lt;/Root&gt;')</v>
      </c>
    </row>
    <row r="552" spans="1:6" x14ac:dyDescent="0.25">
      <c r="A552" s="7">
        <v>42553</v>
      </c>
      <c r="B552" t="str">
        <f t="shared" si="44"/>
        <v>2016/27</v>
      </c>
      <c r="C552" t="str">
        <f t="shared" si="40"/>
        <v>2016/07</v>
      </c>
      <c r="D552">
        <f t="shared" si="41"/>
        <v>2016</v>
      </c>
      <c r="E552" t="str">
        <f t="shared" si="42"/>
        <v>Thứ 7</v>
      </c>
      <c r="F552" s="2" t="str">
        <f t="shared" si="43"/>
        <v>INSERT INTO Master_Calendar (Date, Week, Month, Year, Holiday, XmlMeta) VALUES(N'2016-07-02', N'2016/27', N'2016/07', N'2016', N'Thứ 7', N'&lt;Root&gt;&lt;/Root&gt;')</v>
      </c>
    </row>
    <row r="553" spans="1:6" x14ac:dyDescent="0.25">
      <c r="A553" s="7">
        <v>42554</v>
      </c>
      <c r="B553" t="str">
        <f t="shared" si="44"/>
        <v>2016/27</v>
      </c>
      <c r="C553" t="str">
        <f t="shared" si="40"/>
        <v>2016/07</v>
      </c>
      <c r="D553">
        <f t="shared" si="41"/>
        <v>2016</v>
      </c>
      <c r="E553" t="str">
        <f t="shared" si="42"/>
        <v>Chủ nhật</v>
      </c>
      <c r="F553" s="2" t="str">
        <f t="shared" si="43"/>
        <v>INSERT INTO Master_Calendar (Date, Week, Month, Year, Holiday, XmlMeta) VALUES(N'2016-07-03', N'2016/27', N'2016/07', N'2016', N'Chủ nhật', N'&lt;Root&gt;&lt;/Root&gt;')</v>
      </c>
    </row>
    <row r="554" spans="1:6" x14ac:dyDescent="0.25">
      <c r="A554" s="7">
        <v>42555</v>
      </c>
      <c r="B554" t="str">
        <f t="shared" si="44"/>
        <v>2016/28</v>
      </c>
      <c r="C554" t="str">
        <f t="shared" si="40"/>
        <v>2016/07</v>
      </c>
      <c r="D554">
        <f t="shared" si="41"/>
        <v>2016</v>
      </c>
      <c r="E554" t="str">
        <f t="shared" si="42"/>
        <v/>
      </c>
      <c r="F554" s="2" t="str">
        <f t="shared" si="43"/>
        <v>INSERT INTO Master_Calendar (Date, Week, Month, Year, Holiday, XmlMeta) VALUES(N'2016-07-04', N'2016/28', N'2016/07', N'2016', N'', N'&lt;Root&gt;&lt;/Root&gt;')</v>
      </c>
    </row>
    <row r="555" spans="1:6" x14ac:dyDescent="0.25">
      <c r="A555" s="7">
        <v>42556</v>
      </c>
      <c r="B555" t="str">
        <f t="shared" si="44"/>
        <v>2016/28</v>
      </c>
      <c r="C555" t="str">
        <f t="shared" si="40"/>
        <v>2016/07</v>
      </c>
      <c r="D555">
        <f t="shared" si="41"/>
        <v>2016</v>
      </c>
      <c r="E555" t="str">
        <f t="shared" si="42"/>
        <v/>
      </c>
      <c r="F555" s="2" t="str">
        <f t="shared" si="43"/>
        <v>INSERT INTO Master_Calendar (Date, Week, Month, Year, Holiday, XmlMeta) VALUES(N'2016-07-05', N'2016/28', N'2016/07', N'2016', N'', N'&lt;Root&gt;&lt;/Root&gt;')</v>
      </c>
    </row>
    <row r="556" spans="1:6" x14ac:dyDescent="0.25">
      <c r="A556" s="7">
        <v>42557</v>
      </c>
      <c r="B556" t="str">
        <f t="shared" si="44"/>
        <v>2016/28</v>
      </c>
      <c r="C556" t="str">
        <f t="shared" si="40"/>
        <v>2016/07</v>
      </c>
      <c r="D556">
        <f t="shared" si="41"/>
        <v>2016</v>
      </c>
      <c r="E556" t="str">
        <f t="shared" si="42"/>
        <v/>
      </c>
      <c r="F556" s="2" t="str">
        <f t="shared" si="43"/>
        <v>INSERT INTO Master_Calendar (Date, Week, Month, Year, Holiday, XmlMeta) VALUES(N'2016-07-06', N'2016/28', N'2016/07', N'2016', N'', N'&lt;Root&gt;&lt;/Root&gt;')</v>
      </c>
    </row>
    <row r="557" spans="1:6" x14ac:dyDescent="0.25">
      <c r="A557" s="7">
        <v>42558</v>
      </c>
      <c r="B557" t="str">
        <f t="shared" si="44"/>
        <v>2016/28</v>
      </c>
      <c r="C557" t="str">
        <f t="shared" si="40"/>
        <v>2016/07</v>
      </c>
      <c r="D557">
        <f t="shared" si="41"/>
        <v>2016</v>
      </c>
      <c r="E557" t="str">
        <f t="shared" si="42"/>
        <v/>
      </c>
      <c r="F557" s="2" t="str">
        <f t="shared" si="43"/>
        <v>INSERT INTO Master_Calendar (Date, Week, Month, Year, Holiday, XmlMeta) VALUES(N'2016-07-07', N'2016/28', N'2016/07', N'2016', N'', N'&lt;Root&gt;&lt;/Root&gt;')</v>
      </c>
    </row>
    <row r="558" spans="1:6" x14ac:dyDescent="0.25">
      <c r="A558" s="7">
        <v>42559</v>
      </c>
      <c r="B558" t="str">
        <f t="shared" si="44"/>
        <v>2016/28</v>
      </c>
      <c r="C558" t="str">
        <f t="shared" si="40"/>
        <v>2016/07</v>
      </c>
      <c r="D558">
        <f t="shared" si="41"/>
        <v>2016</v>
      </c>
      <c r="E558" t="str">
        <f t="shared" si="42"/>
        <v/>
      </c>
      <c r="F558" s="2" t="str">
        <f t="shared" si="43"/>
        <v>INSERT INTO Master_Calendar (Date, Week, Month, Year, Holiday, XmlMeta) VALUES(N'2016-07-08', N'2016/28', N'2016/07', N'2016', N'', N'&lt;Root&gt;&lt;/Root&gt;')</v>
      </c>
    </row>
    <row r="559" spans="1:6" x14ac:dyDescent="0.25">
      <c r="A559" s="7">
        <v>42560</v>
      </c>
      <c r="B559" t="str">
        <f t="shared" si="44"/>
        <v>2016/28</v>
      </c>
      <c r="C559" t="str">
        <f t="shared" si="40"/>
        <v>2016/07</v>
      </c>
      <c r="D559">
        <f t="shared" si="41"/>
        <v>2016</v>
      </c>
      <c r="E559" t="str">
        <f t="shared" si="42"/>
        <v>Thứ 7</v>
      </c>
      <c r="F559" s="2" t="str">
        <f t="shared" si="43"/>
        <v>INSERT INTO Master_Calendar (Date, Week, Month, Year, Holiday, XmlMeta) VALUES(N'2016-07-09', N'2016/28', N'2016/07', N'2016', N'Thứ 7', N'&lt;Root&gt;&lt;/Root&gt;')</v>
      </c>
    </row>
    <row r="560" spans="1:6" x14ac:dyDescent="0.25">
      <c r="A560" s="7">
        <v>42561</v>
      </c>
      <c r="B560" t="str">
        <f t="shared" si="44"/>
        <v>2016/28</v>
      </c>
      <c r="C560" t="str">
        <f t="shared" si="40"/>
        <v>2016/07</v>
      </c>
      <c r="D560">
        <f t="shared" si="41"/>
        <v>2016</v>
      </c>
      <c r="E560" t="str">
        <f t="shared" si="42"/>
        <v>Chủ nhật</v>
      </c>
      <c r="F560" s="2" t="str">
        <f t="shared" si="43"/>
        <v>INSERT INTO Master_Calendar (Date, Week, Month, Year, Holiday, XmlMeta) VALUES(N'2016-07-10', N'2016/28', N'2016/07', N'2016', N'Chủ nhật', N'&lt;Root&gt;&lt;/Root&gt;')</v>
      </c>
    </row>
    <row r="561" spans="1:6" x14ac:dyDescent="0.25">
      <c r="A561" s="7">
        <v>42562</v>
      </c>
      <c r="B561" t="str">
        <f t="shared" si="44"/>
        <v>2016/29</v>
      </c>
      <c r="C561" t="str">
        <f t="shared" si="40"/>
        <v>2016/07</v>
      </c>
      <c r="D561">
        <f t="shared" si="41"/>
        <v>2016</v>
      </c>
      <c r="E561" t="str">
        <f t="shared" si="42"/>
        <v/>
      </c>
      <c r="F561" s="2" t="str">
        <f t="shared" si="43"/>
        <v>INSERT INTO Master_Calendar (Date, Week, Month, Year, Holiday, XmlMeta) VALUES(N'2016-07-11', N'2016/29', N'2016/07', N'2016', N'', N'&lt;Root&gt;&lt;/Root&gt;')</v>
      </c>
    </row>
    <row r="562" spans="1:6" x14ac:dyDescent="0.25">
      <c r="A562" s="7">
        <v>42563</v>
      </c>
      <c r="B562" t="str">
        <f t="shared" si="44"/>
        <v>2016/29</v>
      </c>
      <c r="C562" t="str">
        <f t="shared" si="40"/>
        <v>2016/07</v>
      </c>
      <c r="D562">
        <f t="shared" si="41"/>
        <v>2016</v>
      </c>
      <c r="E562" t="str">
        <f t="shared" si="42"/>
        <v/>
      </c>
      <c r="F562" s="2" t="str">
        <f t="shared" si="43"/>
        <v>INSERT INTO Master_Calendar (Date, Week, Month, Year, Holiday, XmlMeta) VALUES(N'2016-07-12', N'2016/29', N'2016/07', N'2016', N'', N'&lt;Root&gt;&lt;/Root&gt;')</v>
      </c>
    </row>
    <row r="563" spans="1:6" x14ac:dyDescent="0.25">
      <c r="A563" s="7">
        <v>42564</v>
      </c>
      <c r="B563" t="str">
        <f t="shared" si="44"/>
        <v>2016/29</v>
      </c>
      <c r="C563" t="str">
        <f t="shared" si="40"/>
        <v>2016/07</v>
      </c>
      <c r="D563">
        <f t="shared" si="41"/>
        <v>2016</v>
      </c>
      <c r="E563" t="str">
        <f t="shared" si="42"/>
        <v/>
      </c>
      <c r="F563" s="2" t="str">
        <f t="shared" si="43"/>
        <v>INSERT INTO Master_Calendar (Date, Week, Month, Year, Holiday, XmlMeta) VALUES(N'2016-07-13', N'2016/29', N'2016/07', N'2016', N'', N'&lt;Root&gt;&lt;/Root&gt;')</v>
      </c>
    </row>
    <row r="564" spans="1:6" x14ac:dyDescent="0.25">
      <c r="A564" s="7">
        <v>42565</v>
      </c>
      <c r="B564" t="str">
        <f t="shared" si="44"/>
        <v>2016/29</v>
      </c>
      <c r="C564" t="str">
        <f t="shared" si="40"/>
        <v>2016/07</v>
      </c>
      <c r="D564">
        <f t="shared" si="41"/>
        <v>2016</v>
      </c>
      <c r="E564" t="str">
        <f t="shared" si="42"/>
        <v/>
      </c>
      <c r="F564" s="2" t="str">
        <f t="shared" si="43"/>
        <v>INSERT INTO Master_Calendar (Date, Week, Month, Year, Holiday, XmlMeta) VALUES(N'2016-07-14', N'2016/29', N'2016/07', N'2016', N'', N'&lt;Root&gt;&lt;/Root&gt;')</v>
      </c>
    </row>
    <row r="565" spans="1:6" x14ac:dyDescent="0.25">
      <c r="A565" s="7">
        <v>42566</v>
      </c>
      <c r="B565" t="str">
        <f t="shared" si="44"/>
        <v>2016/29</v>
      </c>
      <c r="C565" t="str">
        <f t="shared" si="40"/>
        <v>2016/07</v>
      </c>
      <c r="D565">
        <f t="shared" si="41"/>
        <v>2016</v>
      </c>
      <c r="E565" t="str">
        <f t="shared" si="42"/>
        <v/>
      </c>
      <c r="F565" s="2" t="str">
        <f t="shared" si="43"/>
        <v>INSERT INTO Master_Calendar (Date, Week, Month, Year, Holiday, XmlMeta) VALUES(N'2016-07-15', N'2016/29', N'2016/07', N'2016', N'', N'&lt;Root&gt;&lt;/Root&gt;')</v>
      </c>
    </row>
    <row r="566" spans="1:6" x14ac:dyDescent="0.25">
      <c r="A566" s="7">
        <v>42567</v>
      </c>
      <c r="B566" t="str">
        <f t="shared" si="44"/>
        <v>2016/29</v>
      </c>
      <c r="C566" t="str">
        <f t="shared" si="40"/>
        <v>2016/07</v>
      </c>
      <c r="D566">
        <f t="shared" si="41"/>
        <v>2016</v>
      </c>
      <c r="E566" t="str">
        <f t="shared" si="42"/>
        <v>Thứ 7</v>
      </c>
      <c r="F566" s="2" t="str">
        <f t="shared" si="43"/>
        <v>INSERT INTO Master_Calendar (Date, Week, Month, Year, Holiday, XmlMeta) VALUES(N'2016-07-16', N'2016/29', N'2016/07', N'2016', N'Thứ 7', N'&lt;Root&gt;&lt;/Root&gt;')</v>
      </c>
    </row>
    <row r="567" spans="1:6" x14ac:dyDescent="0.25">
      <c r="A567" s="7">
        <v>42568</v>
      </c>
      <c r="B567" t="str">
        <f t="shared" si="44"/>
        <v>2016/29</v>
      </c>
      <c r="C567" t="str">
        <f t="shared" si="40"/>
        <v>2016/07</v>
      </c>
      <c r="D567">
        <f t="shared" si="41"/>
        <v>2016</v>
      </c>
      <c r="E567" t="str">
        <f t="shared" si="42"/>
        <v>Chủ nhật</v>
      </c>
      <c r="F567" s="2" t="str">
        <f t="shared" si="43"/>
        <v>INSERT INTO Master_Calendar (Date, Week, Month, Year, Holiday, XmlMeta) VALUES(N'2016-07-17', N'2016/29', N'2016/07', N'2016', N'Chủ nhật', N'&lt;Root&gt;&lt;/Root&gt;')</v>
      </c>
    </row>
    <row r="568" spans="1:6" x14ac:dyDescent="0.25">
      <c r="A568" s="7">
        <v>42569</v>
      </c>
      <c r="B568" t="str">
        <f t="shared" si="44"/>
        <v>2016/30</v>
      </c>
      <c r="C568" t="str">
        <f t="shared" si="40"/>
        <v>2016/07</v>
      </c>
      <c r="D568">
        <f t="shared" si="41"/>
        <v>2016</v>
      </c>
      <c r="E568" t="str">
        <f t="shared" si="42"/>
        <v/>
      </c>
      <c r="F568" s="2" t="str">
        <f t="shared" si="43"/>
        <v>INSERT INTO Master_Calendar (Date, Week, Month, Year, Holiday, XmlMeta) VALUES(N'2016-07-18', N'2016/30', N'2016/07', N'2016', N'', N'&lt;Root&gt;&lt;/Root&gt;')</v>
      </c>
    </row>
    <row r="569" spans="1:6" x14ac:dyDescent="0.25">
      <c r="A569" s="7">
        <v>42570</v>
      </c>
      <c r="B569" t="str">
        <f t="shared" si="44"/>
        <v>2016/30</v>
      </c>
      <c r="C569" t="str">
        <f t="shared" si="40"/>
        <v>2016/07</v>
      </c>
      <c r="D569">
        <f t="shared" si="41"/>
        <v>2016</v>
      </c>
      <c r="E569" t="str">
        <f t="shared" si="42"/>
        <v/>
      </c>
      <c r="F569" s="2" t="str">
        <f t="shared" si="43"/>
        <v>INSERT INTO Master_Calendar (Date, Week, Month, Year, Holiday, XmlMeta) VALUES(N'2016-07-19', N'2016/30', N'2016/07', N'2016', N'', N'&lt;Root&gt;&lt;/Root&gt;')</v>
      </c>
    </row>
    <row r="570" spans="1:6" x14ac:dyDescent="0.25">
      <c r="A570" s="7">
        <v>42571</v>
      </c>
      <c r="B570" t="str">
        <f t="shared" si="44"/>
        <v>2016/30</v>
      </c>
      <c r="C570" t="str">
        <f t="shared" si="40"/>
        <v>2016/07</v>
      </c>
      <c r="D570">
        <f t="shared" si="41"/>
        <v>2016</v>
      </c>
      <c r="E570" t="str">
        <f t="shared" si="42"/>
        <v/>
      </c>
      <c r="F570" s="2" t="str">
        <f t="shared" si="43"/>
        <v>INSERT INTO Master_Calendar (Date, Week, Month, Year, Holiday, XmlMeta) VALUES(N'2016-07-20', N'2016/30', N'2016/07', N'2016', N'', N'&lt;Root&gt;&lt;/Root&gt;')</v>
      </c>
    </row>
    <row r="571" spans="1:6" x14ac:dyDescent="0.25">
      <c r="A571" s="7">
        <v>42572</v>
      </c>
      <c r="B571" t="str">
        <f t="shared" si="44"/>
        <v>2016/30</v>
      </c>
      <c r="C571" t="str">
        <f t="shared" si="40"/>
        <v>2016/07</v>
      </c>
      <c r="D571">
        <f t="shared" si="41"/>
        <v>2016</v>
      </c>
      <c r="E571" t="str">
        <f t="shared" si="42"/>
        <v/>
      </c>
      <c r="F571" s="2" t="str">
        <f t="shared" si="43"/>
        <v>INSERT INTO Master_Calendar (Date, Week, Month, Year, Holiday, XmlMeta) VALUES(N'2016-07-21', N'2016/30', N'2016/07', N'2016', N'', N'&lt;Root&gt;&lt;/Root&gt;')</v>
      </c>
    </row>
    <row r="572" spans="1:6" x14ac:dyDescent="0.25">
      <c r="A572" s="7">
        <v>42573</v>
      </c>
      <c r="B572" t="str">
        <f t="shared" si="44"/>
        <v>2016/30</v>
      </c>
      <c r="C572" t="str">
        <f t="shared" si="40"/>
        <v>2016/07</v>
      </c>
      <c r="D572">
        <f t="shared" si="41"/>
        <v>2016</v>
      </c>
      <c r="E572" t="str">
        <f t="shared" si="42"/>
        <v/>
      </c>
      <c r="F572" s="2" t="str">
        <f t="shared" si="43"/>
        <v>INSERT INTO Master_Calendar (Date, Week, Month, Year, Holiday, XmlMeta) VALUES(N'2016-07-22', N'2016/30', N'2016/07', N'2016', N'', N'&lt;Root&gt;&lt;/Root&gt;')</v>
      </c>
    </row>
    <row r="573" spans="1:6" x14ac:dyDescent="0.25">
      <c r="A573" s="7">
        <v>42574</v>
      </c>
      <c r="B573" t="str">
        <f t="shared" si="44"/>
        <v>2016/30</v>
      </c>
      <c r="C573" t="str">
        <f t="shared" si="40"/>
        <v>2016/07</v>
      </c>
      <c r="D573">
        <f t="shared" si="41"/>
        <v>2016</v>
      </c>
      <c r="E573" t="str">
        <f t="shared" si="42"/>
        <v>Thứ 7</v>
      </c>
      <c r="F573" s="2" t="str">
        <f t="shared" si="43"/>
        <v>INSERT INTO Master_Calendar (Date, Week, Month, Year, Holiday, XmlMeta) VALUES(N'2016-07-23', N'2016/30', N'2016/07', N'2016', N'Thứ 7', N'&lt;Root&gt;&lt;/Root&gt;')</v>
      </c>
    </row>
    <row r="574" spans="1:6" x14ac:dyDescent="0.25">
      <c r="A574" s="7">
        <v>42575</v>
      </c>
      <c r="B574" t="str">
        <f t="shared" si="44"/>
        <v>2016/30</v>
      </c>
      <c r="C574" t="str">
        <f t="shared" si="40"/>
        <v>2016/07</v>
      </c>
      <c r="D574">
        <f t="shared" si="41"/>
        <v>2016</v>
      </c>
      <c r="E574" t="str">
        <f t="shared" si="42"/>
        <v>Chủ nhật</v>
      </c>
      <c r="F574" s="2" t="str">
        <f t="shared" si="43"/>
        <v>INSERT INTO Master_Calendar (Date, Week, Month, Year, Holiday, XmlMeta) VALUES(N'2016-07-24', N'2016/30', N'2016/07', N'2016', N'Chủ nhật', N'&lt;Root&gt;&lt;/Root&gt;')</v>
      </c>
    </row>
    <row r="575" spans="1:6" x14ac:dyDescent="0.25">
      <c r="A575" s="7">
        <v>42576</v>
      </c>
      <c r="B575" t="str">
        <f t="shared" si="44"/>
        <v>2016/31</v>
      </c>
      <c r="C575" t="str">
        <f t="shared" si="40"/>
        <v>2016/07</v>
      </c>
      <c r="D575">
        <f t="shared" si="41"/>
        <v>2016</v>
      </c>
      <c r="E575" t="str">
        <f t="shared" si="42"/>
        <v/>
      </c>
      <c r="F575" s="2" t="str">
        <f t="shared" si="43"/>
        <v>INSERT INTO Master_Calendar (Date, Week, Month, Year, Holiday, XmlMeta) VALUES(N'2016-07-25', N'2016/31', N'2016/07', N'2016', N'', N'&lt;Root&gt;&lt;/Root&gt;')</v>
      </c>
    </row>
    <row r="576" spans="1:6" x14ac:dyDescent="0.25">
      <c r="A576" s="7">
        <v>42577</v>
      </c>
      <c r="B576" t="str">
        <f t="shared" si="44"/>
        <v>2016/31</v>
      </c>
      <c r="C576" t="str">
        <f t="shared" si="40"/>
        <v>2016/07</v>
      </c>
      <c r="D576">
        <f t="shared" si="41"/>
        <v>2016</v>
      </c>
      <c r="E576" t="str">
        <f t="shared" si="42"/>
        <v/>
      </c>
      <c r="F576" s="2" t="str">
        <f t="shared" si="43"/>
        <v>INSERT INTO Master_Calendar (Date, Week, Month, Year, Holiday, XmlMeta) VALUES(N'2016-07-26', N'2016/31', N'2016/07', N'2016', N'', N'&lt;Root&gt;&lt;/Root&gt;')</v>
      </c>
    </row>
    <row r="577" spans="1:6" x14ac:dyDescent="0.25">
      <c r="A577" s="7">
        <v>42578</v>
      </c>
      <c r="B577" t="str">
        <f t="shared" si="44"/>
        <v>2016/31</v>
      </c>
      <c r="C577" t="str">
        <f t="shared" si="40"/>
        <v>2016/07</v>
      </c>
      <c r="D577">
        <f t="shared" si="41"/>
        <v>2016</v>
      </c>
      <c r="E577" t="str">
        <f t="shared" si="42"/>
        <v/>
      </c>
      <c r="F577" s="2" t="str">
        <f t="shared" si="43"/>
        <v>INSERT INTO Master_Calendar (Date, Week, Month, Year, Holiday, XmlMeta) VALUES(N'2016-07-27', N'2016/31', N'2016/07', N'2016', N'', N'&lt;Root&gt;&lt;/Root&gt;')</v>
      </c>
    </row>
    <row r="578" spans="1:6" x14ac:dyDescent="0.25">
      <c r="A578" s="7">
        <v>42579</v>
      </c>
      <c r="B578" t="str">
        <f t="shared" si="44"/>
        <v>2016/31</v>
      </c>
      <c r="C578" t="str">
        <f t="shared" si="40"/>
        <v>2016/07</v>
      </c>
      <c r="D578">
        <f t="shared" si="41"/>
        <v>2016</v>
      </c>
      <c r="E578" t="str">
        <f t="shared" si="42"/>
        <v/>
      </c>
      <c r="F578" s="2" t="str">
        <f t="shared" si="43"/>
        <v>INSERT INTO Master_Calendar (Date, Week, Month, Year, Holiday, XmlMeta) VALUES(N'2016-07-28', N'2016/31', N'2016/07', N'2016', N'', N'&lt;Root&gt;&lt;/Root&gt;')</v>
      </c>
    </row>
    <row r="579" spans="1:6" x14ac:dyDescent="0.25">
      <c r="A579" s="7">
        <v>42580</v>
      </c>
      <c r="B579" t="str">
        <f t="shared" si="44"/>
        <v>2016/31</v>
      </c>
      <c r="C579" t="str">
        <f t="shared" si="40"/>
        <v>2016/07</v>
      </c>
      <c r="D579">
        <f t="shared" si="41"/>
        <v>2016</v>
      </c>
      <c r="E579" t="str">
        <f t="shared" si="42"/>
        <v/>
      </c>
      <c r="F579" s="2" t="str">
        <f t="shared" si="43"/>
        <v>INSERT INTO Master_Calendar (Date, Week, Month, Year, Holiday, XmlMeta) VALUES(N'2016-07-29', N'2016/31', N'2016/07', N'2016', N'', N'&lt;Root&gt;&lt;/Root&gt;')</v>
      </c>
    </row>
    <row r="580" spans="1:6" x14ac:dyDescent="0.25">
      <c r="A580" s="7">
        <v>42581</v>
      </c>
      <c r="B580" t="str">
        <f t="shared" si="44"/>
        <v>2016/31</v>
      </c>
      <c r="C580" t="str">
        <f t="shared" si="40"/>
        <v>2016/07</v>
      </c>
      <c r="D580">
        <f t="shared" si="41"/>
        <v>2016</v>
      </c>
      <c r="E580" t="str">
        <f t="shared" si="42"/>
        <v>Thứ 7</v>
      </c>
      <c r="F580" s="2" t="str">
        <f t="shared" si="43"/>
        <v>INSERT INTO Master_Calendar (Date, Week, Month, Year, Holiday, XmlMeta) VALUES(N'2016-07-30', N'2016/31', N'2016/07', N'2016', N'Thứ 7', N'&lt;Root&gt;&lt;/Root&gt;')</v>
      </c>
    </row>
    <row r="581" spans="1:6" x14ac:dyDescent="0.25">
      <c r="A581" s="7">
        <v>42582</v>
      </c>
      <c r="B581" t="str">
        <f t="shared" si="44"/>
        <v>2016/31</v>
      </c>
      <c r="C581" t="str">
        <f t="shared" ref="C581:C644" si="45">YEAR(A581)&amp;"/"&amp;RIGHT("00"&amp;MONTH(A581),2)</f>
        <v>2016/07</v>
      </c>
      <c r="D581">
        <f t="shared" ref="D581:D644" si="46">YEAR(A581)</f>
        <v>2016</v>
      </c>
      <c r="E581" t="str">
        <f t="shared" ref="E581:E644" si="47">IF(WEEKDAY(A581)=1, "Chủ nhật", IF(WEEKDAY(A581)=7, "Thứ 7", ""))</f>
        <v>Chủ nhật</v>
      </c>
      <c r="F581" s="2" t="str">
        <f t="shared" ref="F581:F644" si="48">"INSERT INTO "&amp;$B$1&amp;" ("&amp;$A$3&amp;", "&amp;$B$3&amp;", "&amp;$C$3&amp;", "&amp;$D$3&amp;", "&amp;$E$3&amp;", XmlMeta) VALUES(N'"&amp;TEXT(A581, "yyyy-MM-dd")&amp;"', N'"&amp;B581&amp;"', N'"&amp;C581&amp;"', N'"&amp;D581&amp;"', N'"&amp;E581&amp;"', N'&lt;Root&gt;&lt;/Root&gt;')"</f>
        <v>INSERT INTO Master_Calendar (Date, Week, Month, Year, Holiday, XmlMeta) VALUES(N'2016-07-31', N'2016/31', N'2016/07', N'2016', N'Chủ nhật', N'&lt;Root&gt;&lt;/Root&gt;')</v>
      </c>
    </row>
    <row r="582" spans="1:6" x14ac:dyDescent="0.25">
      <c r="A582" s="7">
        <v>42583</v>
      </c>
      <c r="B582" t="str">
        <f t="shared" ref="B582:B645" si="49">YEAR(A582) &amp; "/" &amp; RIGHT("00" &amp; IF(WEEKNUM(A582, 2) &gt; 52, 52, WEEKNUM(A582, 2)), 2)</f>
        <v>2016/32</v>
      </c>
      <c r="C582" t="str">
        <f t="shared" si="45"/>
        <v>2016/08</v>
      </c>
      <c r="D582">
        <f t="shared" si="46"/>
        <v>2016</v>
      </c>
      <c r="E582" t="str">
        <f t="shared" si="47"/>
        <v/>
      </c>
      <c r="F582" s="2" t="str">
        <f t="shared" si="48"/>
        <v>INSERT INTO Master_Calendar (Date, Week, Month, Year, Holiday, XmlMeta) VALUES(N'2016-08-01', N'2016/32', N'2016/08', N'2016', N'', N'&lt;Root&gt;&lt;/Root&gt;')</v>
      </c>
    </row>
    <row r="583" spans="1:6" x14ac:dyDescent="0.25">
      <c r="A583" s="7">
        <v>42584</v>
      </c>
      <c r="B583" t="str">
        <f t="shared" si="49"/>
        <v>2016/32</v>
      </c>
      <c r="C583" t="str">
        <f t="shared" si="45"/>
        <v>2016/08</v>
      </c>
      <c r="D583">
        <f t="shared" si="46"/>
        <v>2016</v>
      </c>
      <c r="E583" t="str">
        <f t="shared" si="47"/>
        <v/>
      </c>
      <c r="F583" s="2" t="str">
        <f t="shared" si="48"/>
        <v>INSERT INTO Master_Calendar (Date, Week, Month, Year, Holiday, XmlMeta) VALUES(N'2016-08-02', N'2016/32', N'2016/08', N'2016', N'', N'&lt;Root&gt;&lt;/Root&gt;')</v>
      </c>
    </row>
    <row r="584" spans="1:6" x14ac:dyDescent="0.25">
      <c r="A584" s="7">
        <v>42585</v>
      </c>
      <c r="B584" t="str">
        <f t="shared" si="49"/>
        <v>2016/32</v>
      </c>
      <c r="C584" t="str">
        <f t="shared" si="45"/>
        <v>2016/08</v>
      </c>
      <c r="D584">
        <f t="shared" si="46"/>
        <v>2016</v>
      </c>
      <c r="E584" t="str">
        <f t="shared" si="47"/>
        <v/>
      </c>
      <c r="F584" s="2" t="str">
        <f t="shared" si="48"/>
        <v>INSERT INTO Master_Calendar (Date, Week, Month, Year, Holiday, XmlMeta) VALUES(N'2016-08-03', N'2016/32', N'2016/08', N'2016', N'', N'&lt;Root&gt;&lt;/Root&gt;')</v>
      </c>
    </row>
    <row r="585" spans="1:6" x14ac:dyDescent="0.25">
      <c r="A585" s="7">
        <v>42586</v>
      </c>
      <c r="B585" t="str">
        <f t="shared" si="49"/>
        <v>2016/32</v>
      </c>
      <c r="C585" t="str">
        <f t="shared" si="45"/>
        <v>2016/08</v>
      </c>
      <c r="D585">
        <f t="shared" si="46"/>
        <v>2016</v>
      </c>
      <c r="E585" t="str">
        <f t="shared" si="47"/>
        <v/>
      </c>
      <c r="F585" s="2" t="str">
        <f t="shared" si="48"/>
        <v>INSERT INTO Master_Calendar (Date, Week, Month, Year, Holiday, XmlMeta) VALUES(N'2016-08-04', N'2016/32', N'2016/08', N'2016', N'', N'&lt;Root&gt;&lt;/Root&gt;')</v>
      </c>
    </row>
    <row r="586" spans="1:6" x14ac:dyDescent="0.25">
      <c r="A586" s="7">
        <v>42587</v>
      </c>
      <c r="B586" t="str">
        <f t="shared" si="49"/>
        <v>2016/32</v>
      </c>
      <c r="C586" t="str">
        <f t="shared" si="45"/>
        <v>2016/08</v>
      </c>
      <c r="D586">
        <f t="shared" si="46"/>
        <v>2016</v>
      </c>
      <c r="E586" t="str">
        <f t="shared" si="47"/>
        <v/>
      </c>
      <c r="F586" s="2" t="str">
        <f t="shared" si="48"/>
        <v>INSERT INTO Master_Calendar (Date, Week, Month, Year, Holiday, XmlMeta) VALUES(N'2016-08-05', N'2016/32', N'2016/08', N'2016', N'', N'&lt;Root&gt;&lt;/Root&gt;')</v>
      </c>
    </row>
    <row r="587" spans="1:6" x14ac:dyDescent="0.25">
      <c r="A587" s="7">
        <v>42588</v>
      </c>
      <c r="B587" t="str">
        <f t="shared" si="49"/>
        <v>2016/32</v>
      </c>
      <c r="C587" t="str">
        <f t="shared" si="45"/>
        <v>2016/08</v>
      </c>
      <c r="D587">
        <f t="shared" si="46"/>
        <v>2016</v>
      </c>
      <c r="E587" t="str">
        <f t="shared" si="47"/>
        <v>Thứ 7</v>
      </c>
      <c r="F587" s="2" t="str">
        <f t="shared" si="48"/>
        <v>INSERT INTO Master_Calendar (Date, Week, Month, Year, Holiday, XmlMeta) VALUES(N'2016-08-06', N'2016/32', N'2016/08', N'2016', N'Thứ 7', N'&lt;Root&gt;&lt;/Root&gt;')</v>
      </c>
    </row>
    <row r="588" spans="1:6" x14ac:dyDescent="0.25">
      <c r="A588" s="7">
        <v>42589</v>
      </c>
      <c r="B588" t="str">
        <f t="shared" si="49"/>
        <v>2016/32</v>
      </c>
      <c r="C588" t="str">
        <f t="shared" si="45"/>
        <v>2016/08</v>
      </c>
      <c r="D588">
        <f t="shared" si="46"/>
        <v>2016</v>
      </c>
      <c r="E588" t="str">
        <f t="shared" si="47"/>
        <v>Chủ nhật</v>
      </c>
      <c r="F588" s="2" t="str">
        <f t="shared" si="48"/>
        <v>INSERT INTO Master_Calendar (Date, Week, Month, Year, Holiday, XmlMeta) VALUES(N'2016-08-07', N'2016/32', N'2016/08', N'2016', N'Chủ nhật', N'&lt;Root&gt;&lt;/Root&gt;')</v>
      </c>
    </row>
    <row r="589" spans="1:6" x14ac:dyDescent="0.25">
      <c r="A589" s="7">
        <v>42590</v>
      </c>
      <c r="B589" t="str">
        <f t="shared" si="49"/>
        <v>2016/33</v>
      </c>
      <c r="C589" t="str">
        <f t="shared" si="45"/>
        <v>2016/08</v>
      </c>
      <c r="D589">
        <f t="shared" si="46"/>
        <v>2016</v>
      </c>
      <c r="E589" t="str">
        <f t="shared" si="47"/>
        <v/>
      </c>
      <c r="F589" s="2" t="str">
        <f t="shared" si="48"/>
        <v>INSERT INTO Master_Calendar (Date, Week, Month, Year, Holiday, XmlMeta) VALUES(N'2016-08-08', N'2016/33', N'2016/08', N'2016', N'', N'&lt;Root&gt;&lt;/Root&gt;')</v>
      </c>
    </row>
    <row r="590" spans="1:6" x14ac:dyDescent="0.25">
      <c r="A590" s="7">
        <v>42591</v>
      </c>
      <c r="B590" t="str">
        <f t="shared" si="49"/>
        <v>2016/33</v>
      </c>
      <c r="C590" t="str">
        <f t="shared" si="45"/>
        <v>2016/08</v>
      </c>
      <c r="D590">
        <f t="shared" si="46"/>
        <v>2016</v>
      </c>
      <c r="E590" t="str">
        <f t="shared" si="47"/>
        <v/>
      </c>
      <c r="F590" s="2" t="str">
        <f t="shared" si="48"/>
        <v>INSERT INTO Master_Calendar (Date, Week, Month, Year, Holiday, XmlMeta) VALUES(N'2016-08-09', N'2016/33', N'2016/08', N'2016', N'', N'&lt;Root&gt;&lt;/Root&gt;')</v>
      </c>
    </row>
    <row r="591" spans="1:6" x14ac:dyDescent="0.25">
      <c r="A591" s="7">
        <v>42592</v>
      </c>
      <c r="B591" t="str">
        <f t="shared" si="49"/>
        <v>2016/33</v>
      </c>
      <c r="C591" t="str">
        <f t="shared" si="45"/>
        <v>2016/08</v>
      </c>
      <c r="D591">
        <f t="shared" si="46"/>
        <v>2016</v>
      </c>
      <c r="E591" t="str">
        <f t="shared" si="47"/>
        <v/>
      </c>
      <c r="F591" s="2" t="str">
        <f t="shared" si="48"/>
        <v>INSERT INTO Master_Calendar (Date, Week, Month, Year, Holiday, XmlMeta) VALUES(N'2016-08-10', N'2016/33', N'2016/08', N'2016', N'', N'&lt;Root&gt;&lt;/Root&gt;')</v>
      </c>
    </row>
    <row r="592" spans="1:6" x14ac:dyDescent="0.25">
      <c r="A592" s="7">
        <v>42593</v>
      </c>
      <c r="B592" t="str">
        <f t="shared" si="49"/>
        <v>2016/33</v>
      </c>
      <c r="C592" t="str">
        <f t="shared" si="45"/>
        <v>2016/08</v>
      </c>
      <c r="D592">
        <f t="shared" si="46"/>
        <v>2016</v>
      </c>
      <c r="E592" t="str">
        <f t="shared" si="47"/>
        <v/>
      </c>
      <c r="F592" s="2" t="str">
        <f t="shared" si="48"/>
        <v>INSERT INTO Master_Calendar (Date, Week, Month, Year, Holiday, XmlMeta) VALUES(N'2016-08-11', N'2016/33', N'2016/08', N'2016', N'', N'&lt;Root&gt;&lt;/Root&gt;')</v>
      </c>
    </row>
    <row r="593" spans="1:6" x14ac:dyDescent="0.25">
      <c r="A593" s="7">
        <v>42594</v>
      </c>
      <c r="B593" t="str">
        <f t="shared" si="49"/>
        <v>2016/33</v>
      </c>
      <c r="C593" t="str">
        <f t="shared" si="45"/>
        <v>2016/08</v>
      </c>
      <c r="D593">
        <f t="shared" si="46"/>
        <v>2016</v>
      </c>
      <c r="E593" t="str">
        <f t="shared" si="47"/>
        <v/>
      </c>
      <c r="F593" s="2" t="str">
        <f t="shared" si="48"/>
        <v>INSERT INTO Master_Calendar (Date, Week, Month, Year, Holiday, XmlMeta) VALUES(N'2016-08-12', N'2016/33', N'2016/08', N'2016', N'', N'&lt;Root&gt;&lt;/Root&gt;')</v>
      </c>
    </row>
    <row r="594" spans="1:6" x14ac:dyDescent="0.25">
      <c r="A594" s="7">
        <v>42595</v>
      </c>
      <c r="B594" t="str">
        <f t="shared" si="49"/>
        <v>2016/33</v>
      </c>
      <c r="C594" t="str">
        <f t="shared" si="45"/>
        <v>2016/08</v>
      </c>
      <c r="D594">
        <f t="shared" si="46"/>
        <v>2016</v>
      </c>
      <c r="E594" t="str">
        <f t="shared" si="47"/>
        <v>Thứ 7</v>
      </c>
      <c r="F594" s="2" t="str">
        <f t="shared" si="48"/>
        <v>INSERT INTO Master_Calendar (Date, Week, Month, Year, Holiday, XmlMeta) VALUES(N'2016-08-13', N'2016/33', N'2016/08', N'2016', N'Thứ 7', N'&lt;Root&gt;&lt;/Root&gt;')</v>
      </c>
    </row>
    <row r="595" spans="1:6" x14ac:dyDescent="0.25">
      <c r="A595" s="7">
        <v>42596</v>
      </c>
      <c r="B595" t="str">
        <f t="shared" si="49"/>
        <v>2016/33</v>
      </c>
      <c r="C595" t="str">
        <f t="shared" si="45"/>
        <v>2016/08</v>
      </c>
      <c r="D595">
        <f t="shared" si="46"/>
        <v>2016</v>
      </c>
      <c r="E595" t="str">
        <f t="shared" si="47"/>
        <v>Chủ nhật</v>
      </c>
      <c r="F595" s="2" t="str">
        <f t="shared" si="48"/>
        <v>INSERT INTO Master_Calendar (Date, Week, Month, Year, Holiday, XmlMeta) VALUES(N'2016-08-14', N'2016/33', N'2016/08', N'2016', N'Chủ nhật', N'&lt;Root&gt;&lt;/Root&gt;')</v>
      </c>
    </row>
    <row r="596" spans="1:6" x14ac:dyDescent="0.25">
      <c r="A596" s="7">
        <v>42597</v>
      </c>
      <c r="B596" t="str">
        <f t="shared" si="49"/>
        <v>2016/34</v>
      </c>
      <c r="C596" t="str">
        <f t="shared" si="45"/>
        <v>2016/08</v>
      </c>
      <c r="D596">
        <f t="shared" si="46"/>
        <v>2016</v>
      </c>
      <c r="E596" t="str">
        <f t="shared" si="47"/>
        <v/>
      </c>
      <c r="F596" s="2" t="str">
        <f t="shared" si="48"/>
        <v>INSERT INTO Master_Calendar (Date, Week, Month, Year, Holiday, XmlMeta) VALUES(N'2016-08-15', N'2016/34', N'2016/08', N'2016', N'', N'&lt;Root&gt;&lt;/Root&gt;')</v>
      </c>
    </row>
    <row r="597" spans="1:6" x14ac:dyDescent="0.25">
      <c r="A597" s="7">
        <v>42598</v>
      </c>
      <c r="B597" t="str">
        <f t="shared" si="49"/>
        <v>2016/34</v>
      </c>
      <c r="C597" t="str">
        <f t="shared" si="45"/>
        <v>2016/08</v>
      </c>
      <c r="D597">
        <f t="shared" si="46"/>
        <v>2016</v>
      </c>
      <c r="E597" t="str">
        <f t="shared" si="47"/>
        <v/>
      </c>
      <c r="F597" s="2" t="str">
        <f t="shared" si="48"/>
        <v>INSERT INTO Master_Calendar (Date, Week, Month, Year, Holiday, XmlMeta) VALUES(N'2016-08-16', N'2016/34', N'2016/08', N'2016', N'', N'&lt;Root&gt;&lt;/Root&gt;')</v>
      </c>
    </row>
    <row r="598" spans="1:6" x14ac:dyDescent="0.25">
      <c r="A598" s="7">
        <v>42599</v>
      </c>
      <c r="B598" t="str">
        <f t="shared" si="49"/>
        <v>2016/34</v>
      </c>
      <c r="C598" t="str">
        <f t="shared" si="45"/>
        <v>2016/08</v>
      </c>
      <c r="D598">
        <f t="shared" si="46"/>
        <v>2016</v>
      </c>
      <c r="E598" t="str">
        <f t="shared" si="47"/>
        <v/>
      </c>
      <c r="F598" s="2" t="str">
        <f t="shared" si="48"/>
        <v>INSERT INTO Master_Calendar (Date, Week, Month, Year, Holiday, XmlMeta) VALUES(N'2016-08-17', N'2016/34', N'2016/08', N'2016', N'', N'&lt;Root&gt;&lt;/Root&gt;')</v>
      </c>
    </row>
    <row r="599" spans="1:6" x14ac:dyDescent="0.25">
      <c r="A599" s="7">
        <v>42600</v>
      </c>
      <c r="B599" t="str">
        <f t="shared" si="49"/>
        <v>2016/34</v>
      </c>
      <c r="C599" t="str">
        <f t="shared" si="45"/>
        <v>2016/08</v>
      </c>
      <c r="D599">
        <f t="shared" si="46"/>
        <v>2016</v>
      </c>
      <c r="E599" t="str">
        <f t="shared" si="47"/>
        <v/>
      </c>
      <c r="F599" s="2" t="str">
        <f t="shared" si="48"/>
        <v>INSERT INTO Master_Calendar (Date, Week, Month, Year, Holiday, XmlMeta) VALUES(N'2016-08-18', N'2016/34', N'2016/08', N'2016', N'', N'&lt;Root&gt;&lt;/Root&gt;')</v>
      </c>
    </row>
    <row r="600" spans="1:6" x14ac:dyDescent="0.25">
      <c r="A600" s="7">
        <v>42601</v>
      </c>
      <c r="B600" t="str">
        <f t="shared" si="49"/>
        <v>2016/34</v>
      </c>
      <c r="C600" t="str">
        <f t="shared" si="45"/>
        <v>2016/08</v>
      </c>
      <c r="D600">
        <f t="shared" si="46"/>
        <v>2016</v>
      </c>
      <c r="E600" t="str">
        <f t="shared" si="47"/>
        <v/>
      </c>
      <c r="F600" s="2" t="str">
        <f t="shared" si="48"/>
        <v>INSERT INTO Master_Calendar (Date, Week, Month, Year, Holiday, XmlMeta) VALUES(N'2016-08-19', N'2016/34', N'2016/08', N'2016', N'', N'&lt;Root&gt;&lt;/Root&gt;')</v>
      </c>
    </row>
    <row r="601" spans="1:6" x14ac:dyDescent="0.25">
      <c r="A601" s="7">
        <v>42602</v>
      </c>
      <c r="B601" t="str">
        <f t="shared" si="49"/>
        <v>2016/34</v>
      </c>
      <c r="C601" t="str">
        <f t="shared" si="45"/>
        <v>2016/08</v>
      </c>
      <c r="D601">
        <f t="shared" si="46"/>
        <v>2016</v>
      </c>
      <c r="E601" t="str">
        <f t="shared" si="47"/>
        <v>Thứ 7</v>
      </c>
      <c r="F601" s="2" t="str">
        <f t="shared" si="48"/>
        <v>INSERT INTO Master_Calendar (Date, Week, Month, Year, Holiday, XmlMeta) VALUES(N'2016-08-20', N'2016/34', N'2016/08', N'2016', N'Thứ 7', N'&lt;Root&gt;&lt;/Root&gt;')</v>
      </c>
    </row>
    <row r="602" spans="1:6" x14ac:dyDescent="0.25">
      <c r="A602" s="7">
        <v>42603</v>
      </c>
      <c r="B602" t="str">
        <f t="shared" si="49"/>
        <v>2016/34</v>
      </c>
      <c r="C602" t="str">
        <f t="shared" si="45"/>
        <v>2016/08</v>
      </c>
      <c r="D602">
        <f t="shared" si="46"/>
        <v>2016</v>
      </c>
      <c r="E602" t="str">
        <f t="shared" si="47"/>
        <v>Chủ nhật</v>
      </c>
      <c r="F602" s="2" t="str">
        <f t="shared" si="48"/>
        <v>INSERT INTO Master_Calendar (Date, Week, Month, Year, Holiday, XmlMeta) VALUES(N'2016-08-21', N'2016/34', N'2016/08', N'2016', N'Chủ nhật', N'&lt;Root&gt;&lt;/Root&gt;')</v>
      </c>
    </row>
    <row r="603" spans="1:6" x14ac:dyDescent="0.25">
      <c r="A603" s="7">
        <v>42604</v>
      </c>
      <c r="B603" t="str">
        <f t="shared" si="49"/>
        <v>2016/35</v>
      </c>
      <c r="C603" t="str">
        <f t="shared" si="45"/>
        <v>2016/08</v>
      </c>
      <c r="D603">
        <f t="shared" si="46"/>
        <v>2016</v>
      </c>
      <c r="E603" t="str">
        <f t="shared" si="47"/>
        <v/>
      </c>
      <c r="F603" s="2" t="str">
        <f t="shared" si="48"/>
        <v>INSERT INTO Master_Calendar (Date, Week, Month, Year, Holiday, XmlMeta) VALUES(N'2016-08-22', N'2016/35', N'2016/08', N'2016', N'', N'&lt;Root&gt;&lt;/Root&gt;')</v>
      </c>
    </row>
    <row r="604" spans="1:6" x14ac:dyDescent="0.25">
      <c r="A604" s="7">
        <v>42605</v>
      </c>
      <c r="B604" t="str">
        <f t="shared" si="49"/>
        <v>2016/35</v>
      </c>
      <c r="C604" t="str">
        <f t="shared" si="45"/>
        <v>2016/08</v>
      </c>
      <c r="D604">
        <f t="shared" si="46"/>
        <v>2016</v>
      </c>
      <c r="E604" t="str">
        <f t="shared" si="47"/>
        <v/>
      </c>
      <c r="F604" s="2" t="str">
        <f t="shared" si="48"/>
        <v>INSERT INTO Master_Calendar (Date, Week, Month, Year, Holiday, XmlMeta) VALUES(N'2016-08-23', N'2016/35', N'2016/08', N'2016', N'', N'&lt;Root&gt;&lt;/Root&gt;')</v>
      </c>
    </row>
    <row r="605" spans="1:6" x14ac:dyDescent="0.25">
      <c r="A605" s="7">
        <v>42606</v>
      </c>
      <c r="B605" t="str">
        <f t="shared" si="49"/>
        <v>2016/35</v>
      </c>
      <c r="C605" t="str">
        <f t="shared" si="45"/>
        <v>2016/08</v>
      </c>
      <c r="D605">
        <f t="shared" si="46"/>
        <v>2016</v>
      </c>
      <c r="E605" t="str">
        <f t="shared" si="47"/>
        <v/>
      </c>
      <c r="F605" s="2" t="str">
        <f t="shared" si="48"/>
        <v>INSERT INTO Master_Calendar (Date, Week, Month, Year, Holiday, XmlMeta) VALUES(N'2016-08-24', N'2016/35', N'2016/08', N'2016', N'', N'&lt;Root&gt;&lt;/Root&gt;')</v>
      </c>
    </row>
    <row r="606" spans="1:6" x14ac:dyDescent="0.25">
      <c r="A606" s="7">
        <v>42607</v>
      </c>
      <c r="B606" t="str">
        <f t="shared" si="49"/>
        <v>2016/35</v>
      </c>
      <c r="C606" t="str">
        <f t="shared" si="45"/>
        <v>2016/08</v>
      </c>
      <c r="D606">
        <f t="shared" si="46"/>
        <v>2016</v>
      </c>
      <c r="E606" t="str">
        <f t="shared" si="47"/>
        <v/>
      </c>
      <c r="F606" s="2" t="str">
        <f t="shared" si="48"/>
        <v>INSERT INTO Master_Calendar (Date, Week, Month, Year, Holiday, XmlMeta) VALUES(N'2016-08-25', N'2016/35', N'2016/08', N'2016', N'', N'&lt;Root&gt;&lt;/Root&gt;')</v>
      </c>
    </row>
    <row r="607" spans="1:6" x14ac:dyDescent="0.25">
      <c r="A607" s="7">
        <v>42608</v>
      </c>
      <c r="B607" t="str">
        <f t="shared" si="49"/>
        <v>2016/35</v>
      </c>
      <c r="C607" t="str">
        <f t="shared" si="45"/>
        <v>2016/08</v>
      </c>
      <c r="D607">
        <f t="shared" si="46"/>
        <v>2016</v>
      </c>
      <c r="E607" t="str">
        <f t="shared" si="47"/>
        <v/>
      </c>
      <c r="F607" s="2" t="str">
        <f t="shared" si="48"/>
        <v>INSERT INTO Master_Calendar (Date, Week, Month, Year, Holiday, XmlMeta) VALUES(N'2016-08-26', N'2016/35', N'2016/08', N'2016', N'', N'&lt;Root&gt;&lt;/Root&gt;')</v>
      </c>
    </row>
    <row r="608" spans="1:6" x14ac:dyDescent="0.25">
      <c r="A608" s="7">
        <v>42609</v>
      </c>
      <c r="B608" t="str">
        <f t="shared" si="49"/>
        <v>2016/35</v>
      </c>
      <c r="C608" t="str">
        <f t="shared" si="45"/>
        <v>2016/08</v>
      </c>
      <c r="D608">
        <f t="shared" si="46"/>
        <v>2016</v>
      </c>
      <c r="E608" t="str">
        <f t="shared" si="47"/>
        <v>Thứ 7</v>
      </c>
      <c r="F608" s="2" t="str">
        <f t="shared" si="48"/>
        <v>INSERT INTO Master_Calendar (Date, Week, Month, Year, Holiday, XmlMeta) VALUES(N'2016-08-27', N'2016/35', N'2016/08', N'2016', N'Thứ 7', N'&lt;Root&gt;&lt;/Root&gt;')</v>
      </c>
    </row>
    <row r="609" spans="1:6" x14ac:dyDescent="0.25">
      <c r="A609" s="7">
        <v>42610</v>
      </c>
      <c r="B609" t="str">
        <f t="shared" si="49"/>
        <v>2016/35</v>
      </c>
      <c r="C609" t="str">
        <f t="shared" si="45"/>
        <v>2016/08</v>
      </c>
      <c r="D609">
        <f t="shared" si="46"/>
        <v>2016</v>
      </c>
      <c r="E609" t="str">
        <f t="shared" si="47"/>
        <v>Chủ nhật</v>
      </c>
      <c r="F609" s="2" t="str">
        <f t="shared" si="48"/>
        <v>INSERT INTO Master_Calendar (Date, Week, Month, Year, Holiday, XmlMeta) VALUES(N'2016-08-28', N'2016/35', N'2016/08', N'2016', N'Chủ nhật', N'&lt;Root&gt;&lt;/Root&gt;')</v>
      </c>
    </row>
    <row r="610" spans="1:6" x14ac:dyDescent="0.25">
      <c r="A610" s="7">
        <v>42611</v>
      </c>
      <c r="B610" t="str">
        <f t="shared" si="49"/>
        <v>2016/36</v>
      </c>
      <c r="C610" t="str">
        <f t="shared" si="45"/>
        <v>2016/08</v>
      </c>
      <c r="D610">
        <f t="shared" si="46"/>
        <v>2016</v>
      </c>
      <c r="E610" t="str">
        <f t="shared" si="47"/>
        <v/>
      </c>
      <c r="F610" s="2" t="str">
        <f t="shared" si="48"/>
        <v>INSERT INTO Master_Calendar (Date, Week, Month, Year, Holiday, XmlMeta) VALUES(N'2016-08-29', N'2016/36', N'2016/08', N'2016', N'', N'&lt;Root&gt;&lt;/Root&gt;')</v>
      </c>
    </row>
    <row r="611" spans="1:6" x14ac:dyDescent="0.25">
      <c r="A611" s="7">
        <v>42612</v>
      </c>
      <c r="B611" t="str">
        <f t="shared" si="49"/>
        <v>2016/36</v>
      </c>
      <c r="C611" t="str">
        <f t="shared" si="45"/>
        <v>2016/08</v>
      </c>
      <c r="D611">
        <f t="shared" si="46"/>
        <v>2016</v>
      </c>
      <c r="E611" t="str">
        <f t="shared" si="47"/>
        <v/>
      </c>
      <c r="F611" s="2" t="str">
        <f t="shared" si="48"/>
        <v>INSERT INTO Master_Calendar (Date, Week, Month, Year, Holiday, XmlMeta) VALUES(N'2016-08-30', N'2016/36', N'2016/08', N'2016', N'', N'&lt;Root&gt;&lt;/Root&gt;')</v>
      </c>
    </row>
    <row r="612" spans="1:6" x14ac:dyDescent="0.25">
      <c r="A612" s="7">
        <v>42613</v>
      </c>
      <c r="B612" t="str">
        <f t="shared" si="49"/>
        <v>2016/36</v>
      </c>
      <c r="C612" t="str">
        <f t="shared" si="45"/>
        <v>2016/08</v>
      </c>
      <c r="D612">
        <f t="shared" si="46"/>
        <v>2016</v>
      </c>
      <c r="E612" t="str">
        <f t="shared" si="47"/>
        <v/>
      </c>
      <c r="F612" s="2" t="str">
        <f t="shared" si="48"/>
        <v>INSERT INTO Master_Calendar (Date, Week, Month, Year, Holiday, XmlMeta) VALUES(N'2016-08-31', N'2016/36', N'2016/08', N'2016', N'', N'&lt;Root&gt;&lt;/Root&gt;')</v>
      </c>
    </row>
    <row r="613" spans="1:6" x14ac:dyDescent="0.25">
      <c r="A613" s="7">
        <v>42614</v>
      </c>
      <c r="B613" t="str">
        <f t="shared" si="49"/>
        <v>2016/36</v>
      </c>
      <c r="C613" t="str">
        <f t="shared" si="45"/>
        <v>2016/09</v>
      </c>
      <c r="D613">
        <f t="shared" si="46"/>
        <v>2016</v>
      </c>
      <c r="E613" t="str">
        <f t="shared" si="47"/>
        <v/>
      </c>
      <c r="F613" s="2" t="str">
        <f t="shared" si="48"/>
        <v>INSERT INTO Master_Calendar (Date, Week, Month, Year, Holiday, XmlMeta) VALUES(N'2016-09-01', N'2016/36', N'2016/09', N'2016', N'', N'&lt;Root&gt;&lt;/Root&gt;')</v>
      </c>
    </row>
    <row r="614" spans="1:6" x14ac:dyDescent="0.25">
      <c r="A614" s="7">
        <v>42615</v>
      </c>
      <c r="B614" t="str">
        <f t="shared" si="49"/>
        <v>2016/36</v>
      </c>
      <c r="C614" t="str">
        <f t="shared" si="45"/>
        <v>2016/09</v>
      </c>
      <c r="D614">
        <f t="shared" si="46"/>
        <v>2016</v>
      </c>
      <c r="E614" t="str">
        <f t="shared" si="47"/>
        <v/>
      </c>
      <c r="F614" s="2" t="str">
        <f t="shared" si="48"/>
        <v>INSERT INTO Master_Calendar (Date, Week, Month, Year, Holiday, XmlMeta) VALUES(N'2016-09-02', N'2016/36', N'2016/09', N'2016', N'', N'&lt;Root&gt;&lt;/Root&gt;')</v>
      </c>
    </row>
    <row r="615" spans="1:6" x14ac:dyDescent="0.25">
      <c r="A615" s="7">
        <v>42616</v>
      </c>
      <c r="B615" t="str">
        <f t="shared" si="49"/>
        <v>2016/36</v>
      </c>
      <c r="C615" t="str">
        <f t="shared" si="45"/>
        <v>2016/09</v>
      </c>
      <c r="D615">
        <f t="shared" si="46"/>
        <v>2016</v>
      </c>
      <c r="E615" t="str">
        <f t="shared" si="47"/>
        <v>Thứ 7</v>
      </c>
      <c r="F615" s="2" t="str">
        <f t="shared" si="48"/>
        <v>INSERT INTO Master_Calendar (Date, Week, Month, Year, Holiday, XmlMeta) VALUES(N'2016-09-03', N'2016/36', N'2016/09', N'2016', N'Thứ 7', N'&lt;Root&gt;&lt;/Root&gt;')</v>
      </c>
    </row>
    <row r="616" spans="1:6" x14ac:dyDescent="0.25">
      <c r="A616" s="7">
        <v>42617</v>
      </c>
      <c r="B616" t="str">
        <f t="shared" si="49"/>
        <v>2016/36</v>
      </c>
      <c r="C616" t="str">
        <f t="shared" si="45"/>
        <v>2016/09</v>
      </c>
      <c r="D616">
        <f t="shared" si="46"/>
        <v>2016</v>
      </c>
      <c r="E616" t="str">
        <f t="shared" si="47"/>
        <v>Chủ nhật</v>
      </c>
      <c r="F616" s="2" t="str">
        <f t="shared" si="48"/>
        <v>INSERT INTO Master_Calendar (Date, Week, Month, Year, Holiday, XmlMeta) VALUES(N'2016-09-04', N'2016/36', N'2016/09', N'2016', N'Chủ nhật', N'&lt;Root&gt;&lt;/Root&gt;')</v>
      </c>
    </row>
    <row r="617" spans="1:6" x14ac:dyDescent="0.25">
      <c r="A617" s="7">
        <v>42618</v>
      </c>
      <c r="B617" t="str">
        <f t="shared" si="49"/>
        <v>2016/37</v>
      </c>
      <c r="C617" t="str">
        <f t="shared" si="45"/>
        <v>2016/09</v>
      </c>
      <c r="D617">
        <f t="shared" si="46"/>
        <v>2016</v>
      </c>
      <c r="E617" t="str">
        <f t="shared" si="47"/>
        <v/>
      </c>
      <c r="F617" s="2" t="str">
        <f t="shared" si="48"/>
        <v>INSERT INTO Master_Calendar (Date, Week, Month, Year, Holiday, XmlMeta) VALUES(N'2016-09-05', N'2016/37', N'2016/09', N'2016', N'', N'&lt;Root&gt;&lt;/Root&gt;')</v>
      </c>
    </row>
    <row r="618" spans="1:6" x14ac:dyDescent="0.25">
      <c r="A618" s="7">
        <v>42619</v>
      </c>
      <c r="B618" t="str">
        <f t="shared" si="49"/>
        <v>2016/37</v>
      </c>
      <c r="C618" t="str">
        <f t="shared" si="45"/>
        <v>2016/09</v>
      </c>
      <c r="D618">
        <f t="shared" si="46"/>
        <v>2016</v>
      </c>
      <c r="E618" t="str">
        <f t="shared" si="47"/>
        <v/>
      </c>
      <c r="F618" s="2" t="str">
        <f t="shared" si="48"/>
        <v>INSERT INTO Master_Calendar (Date, Week, Month, Year, Holiday, XmlMeta) VALUES(N'2016-09-06', N'2016/37', N'2016/09', N'2016', N'', N'&lt;Root&gt;&lt;/Root&gt;')</v>
      </c>
    </row>
    <row r="619" spans="1:6" x14ac:dyDescent="0.25">
      <c r="A619" s="7">
        <v>42620</v>
      </c>
      <c r="B619" t="str">
        <f t="shared" si="49"/>
        <v>2016/37</v>
      </c>
      <c r="C619" t="str">
        <f t="shared" si="45"/>
        <v>2016/09</v>
      </c>
      <c r="D619">
        <f t="shared" si="46"/>
        <v>2016</v>
      </c>
      <c r="E619" t="str">
        <f t="shared" si="47"/>
        <v/>
      </c>
      <c r="F619" s="2" t="str">
        <f t="shared" si="48"/>
        <v>INSERT INTO Master_Calendar (Date, Week, Month, Year, Holiday, XmlMeta) VALUES(N'2016-09-07', N'2016/37', N'2016/09', N'2016', N'', N'&lt;Root&gt;&lt;/Root&gt;')</v>
      </c>
    </row>
    <row r="620" spans="1:6" x14ac:dyDescent="0.25">
      <c r="A620" s="7">
        <v>42621</v>
      </c>
      <c r="B620" t="str">
        <f t="shared" si="49"/>
        <v>2016/37</v>
      </c>
      <c r="C620" t="str">
        <f t="shared" si="45"/>
        <v>2016/09</v>
      </c>
      <c r="D620">
        <f t="shared" si="46"/>
        <v>2016</v>
      </c>
      <c r="E620" t="str">
        <f t="shared" si="47"/>
        <v/>
      </c>
      <c r="F620" s="2" t="str">
        <f t="shared" si="48"/>
        <v>INSERT INTO Master_Calendar (Date, Week, Month, Year, Holiday, XmlMeta) VALUES(N'2016-09-08', N'2016/37', N'2016/09', N'2016', N'', N'&lt;Root&gt;&lt;/Root&gt;')</v>
      </c>
    </row>
    <row r="621" spans="1:6" x14ac:dyDescent="0.25">
      <c r="A621" s="7">
        <v>42622</v>
      </c>
      <c r="B621" t="str">
        <f t="shared" si="49"/>
        <v>2016/37</v>
      </c>
      <c r="C621" t="str">
        <f t="shared" si="45"/>
        <v>2016/09</v>
      </c>
      <c r="D621">
        <f t="shared" si="46"/>
        <v>2016</v>
      </c>
      <c r="E621" t="str">
        <f t="shared" si="47"/>
        <v/>
      </c>
      <c r="F621" s="2" t="str">
        <f t="shared" si="48"/>
        <v>INSERT INTO Master_Calendar (Date, Week, Month, Year, Holiday, XmlMeta) VALUES(N'2016-09-09', N'2016/37', N'2016/09', N'2016', N'', N'&lt;Root&gt;&lt;/Root&gt;')</v>
      </c>
    </row>
    <row r="622" spans="1:6" x14ac:dyDescent="0.25">
      <c r="A622" s="7">
        <v>42623</v>
      </c>
      <c r="B622" t="str">
        <f t="shared" si="49"/>
        <v>2016/37</v>
      </c>
      <c r="C622" t="str">
        <f t="shared" si="45"/>
        <v>2016/09</v>
      </c>
      <c r="D622">
        <f t="shared" si="46"/>
        <v>2016</v>
      </c>
      <c r="E622" t="str">
        <f t="shared" si="47"/>
        <v>Thứ 7</v>
      </c>
      <c r="F622" s="2" t="str">
        <f t="shared" si="48"/>
        <v>INSERT INTO Master_Calendar (Date, Week, Month, Year, Holiday, XmlMeta) VALUES(N'2016-09-10', N'2016/37', N'2016/09', N'2016', N'Thứ 7', N'&lt;Root&gt;&lt;/Root&gt;')</v>
      </c>
    </row>
    <row r="623" spans="1:6" x14ac:dyDescent="0.25">
      <c r="A623" s="7">
        <v>42624</v>
      </c>
      <c r="B623" t="str">
        <f t="shared" si="49"/>
        <v>2016/37</v>
      </c>
      <c r="C623" t="str">
        <f t="shared" si="45"/>
        <v>2016/09</v>
      </c>
      <c r="D623">
        <f t="shared" si="46"/>
        <v>2016</v>
      </c>
      <c r="E623" t="str">
        <f t="shared" si="47"/>
        <v>Chủ nhật</v>
      </c>
      <c r="F623" s="2" t="str">
        <f t="shared" si="48"/>
        <v>INSERT INTO Master_Calendar (Date, Week, Month, Year, Holiday, XmlMeta) VALUES(N'2016-09-11', N'2016/37', N'2016/09', N'2016', N'Chủ nhật', N'&lt;Root&gt;&lt;/Root&gt;')</v>
      </c>
    </row>
    <row r="624" spans="1:6" x14ac:dyDescent="0.25">
      <c r="A624" s="7">
        <v>42625</v>
      </c>
      <c r="B624" t="str">
        <f t="shared" si="49"/>
        <v>2016/38</v>
      </c>
      <c r="C624" t="str">
        <f t="shared" si="45"/>
        <v>2016/09</v>
      </c>
      <c r="D624">
        <f t="shared" si="46"/>
        <v>2016</v>
      </c>
      <c r="E624" t="str">
        <f t="shared" si="47"/>
        <v/>
      </c>
      <c r="F624" s="2" t="str">
        <f t="shared" si="48"/>
        <v>INSERT INTO Master_Calendar (Date, Week, Month, Year, Holiday, XmlMeta) VALUES(N'2016-09-12', N'2016/38', N'2016/09', N'2016', N'', N'&lt;Root&gt;&lt;/Root&gt;')</v>
      </c>
    </row>
    <row r="625" spans="1:6" x14ac:dyDescent="0.25">
      <c r="A625" s="7">
        <v>42626</v>
      </c>
      <c r="B625" t="str">
        <f t="shared" si="49"/>
        <v>2016/38</v>
      </c>
      <c r="C625" t="str">
        <f t="shared" si="45"/>
        <v>2016/09</v>
      </c>
      <c r="D625">
        <f t="shared" si="46"/>
        <v>2016</v>
      </c>
      <c r="E625" t="str">
        <f t="shared" si="47"/>
        <v/>
      </c>
      <c r="F625" s="2" t="str">
        <f t="shared" si="48"/>
        <v>INSERT INTO Master_Calendar (Date, Week, Month, Year, Holiday, XmlMeta) VALUES(N'2016-09-13', N'2016/38', N'2016/09', N'2016', N'', N'&lt;Root&gt;&lt;/Root&gt;')</v>
      </c>
    </row>
    <row r="626" spans="1:6" x14ac:dyDescent="0.25">
      <c r="A626" s="7">
        <v>42627</v>
      </c>
      <c r="B626" t="str">
        <f t="shared" si="49"/>
        <v>2016/38</v>
      </c>
      <c r="C626" t="str">
        <f t="shared" si="45"/>
        <v>2016/09</v>
      </c>
      <c r="D626">
        <f t="shared" si="46"/>
        <v>2016</v>
      </c>
      <c r="E626" t="str">
        <f t="shared" si="47"/>
        <v/>
      </c>
      <c r="F626" s="2" t="str">
        <f t="shared" si="48"/>
        <v>INSERT INTO Master_Calendar (Date, Week, Month, Year, Holiday, XmlMeta) VALUES(N'2016-09-14', N'2016/38', N'2016/09', N'2016', N'', N'&lt;Root&gt;&lt;/Root&gt;')</v>
      </c>
    </row>
    <row r="627" spans="1:6" x14ac:dyDescent="0.25">
      <c r="A627" s="7">
        <v>42628</v>
      </c>
      <c r="B627" t="str">
        <f t="shared" si="49"/>
        <v>2016/38</v>
      </c>
      <c r="C627" t="str">
        <f t="shared" si="45"/>
        <v>2016/09</v>
      </c>
      <c r="D627">
        <f t="shared" si="46"/>
        <v>2016</v>
      </c>
      <c r="E627" t="str">
        <f t="shared" si="47"/>
        <v/>
      </c>
      <c r="F627" s="2" t="str">
        <f t="shared" si="48"/>
        <v>INSERT INTO Master_Calendar (Date, Week, Month, Year, Holiday, XmlMeta) VALUES(N'2016-09-15', N'2016/38', N'2016/09', N'2016', N'', N'&lt;Root&gt;&lt;/Root&gt;')</v>
      </c>
    </row>
    <row r="628" spans="1:6" x14ac:dyDescent="0.25">
      <c r="A628" s="7">
        <v>42629</v>
      </c>
      <c r="B628" t="str">
        <f t="shared" si="49"/>
        <v>2016/38</v>
      </c>
      <c r="C628" t="str">
        <f t="shared" si="45"/>
        <v>2016/09</v>
      </c>
      <c r="D628">
        <f t="shared" si="46"/>
        <v>2016</v>
      </c>
      <c r="E628" t="str">
        <f t="shared" si="47"/>
        <v/>
      </c>
      <c r="F628" s="2" t="str">
        <f t="shared" si="48"/>
        <v>INSERT INTO Master_Calendar (Date, Week, Month, Year, Holiday, XmlMeta) VALUES(N'2016-09-16', N'2016/38', N'2016/09', N'2016', N'', N'&lt;Root&gt;&lt;/Root&gt;')</v>
      </c>
    </row>
    <row r="629" spans="1:6" x14ac:dyDescent="0.25">
      <c r="A629" s="7">
        <v>42630</v>
      </c>
      <c r="B629" t="str">
        <f t="shared" si="49"/>
        <v>2016/38</v>
      </c>
      <c r="C629" t="str">
        <f t="shared" si="45"/>
        <v>2016/09</v>
      </c>
      <c r="D629">
        <f t="shared" si="46"/>
        <v>2016</v>
      </c>
      <c r="E629" t="str">
        <f t="shared" si="47"/>
        <v>Thứ 7</v>
      </c>
      <c r="F629" s="2" t="str">
        <f t="shared" si="48"/>
        <v>INSERT INTO Master_Calendar (Date, Week, Month, Year, Holiday, XmlMeta) VALUES(N'2016-09-17', N'2016/38', N'2016/09', N'2016', N'Thứ 7', N'&lt;Root&gt;&lt;/Root&gt;')</v>
      </c>
    </row>
    <row r="630" spans="1:6" x14ac:dyDescent="0.25">
      <c r="A630" s="7">
        <v>42631</v>
      </c>
      <c r="B630" t="str">
        <f t="shared" si="49"/>
        <v>2016/38</v>
      </c>
      <c r="C630" t="str">
        <f t="shared" si="45"/>
        <v>2016/09</v>
      </c>
      <c r="D630">
        <f t="shared" si="46"/>
        <v>2016</v>
      </c>
      <c r="E630" t="str">
        <f t="shared" si="47"/>
        <v>Chủ nhật</v>
      </c>
      <c r="F630" s="2" t="str">
        <f t="shared" si="48"/>
        <v>INSERT INTO Master_Calendar (Date, Week, Month, Year, Holiday, XmlMeta) VALUES(N'2016-09-18', N'2016/38', N'2016/09', N'2016', N'Chủ nhật', N'&lt;Root&gt;&lt;/Root&gt;')</v>
      </c>
    </row>
    <row r="631" spans="1:6" x14ac:dyDescent="0.25">
      <c r="A631" s="7">
        <v>42632</v>
      </c>
      <c r="B631" t="str">
        <f t="shared" si="49"/>
        <v>2016/39</v>
      </c>
      <c r="C631" t="str">
        <f t="shared" si="45"/>
        <v>2016/09</v>
      </c>
      <c r="D631">
        <f t="shared" si="46"/>
        <v>2016</v>
      </c>
      <c r="E631" t="str">
        <f t="shared" si="47"/>
        <v/>
      </c>
      <c r="F631" s="2" t="str">
        <f t="shared" si="48"/>
        <v>INSERT INTO Master_Calendar (Date, Week, Month, Year, Holiday, XmlMeta) VALUES(N'2016-09-19', N'2016/39', N'2016/09', N'2016', N'', N'&lt;Root&gt;&lt;/Root&gt;')</v>
      </c>
    </row>
    <row r="632" spans="1:6" x14ac:dyDescent="0.25">
      <c r="A632" s="7">
        <v>42633</v>
      </c>
      <c r="B632" t="str">
        <f t="shared" si="49"/>
        <v>2016/39</v>
      </c>
      <c r="C632" t="str">
        <f t="shared" si="45"/>
        <v>2016/09</v>
      </c>
      <c r="D632">
        <f t="shared" si="46"/>
        <v>2016</v>
      </c>
      <c r="E632" t="str">
        <f t="shared" si="47"/>
        <v/>
      </c>
      <c r="F632" s="2" t="str">
        <f t="shared" si="48"/>
        <v>INSERT INTO Master_Calendar (Date, Week, Month, Year, Holiday, XmlMeta) VALUES(N'2016-09-20', N'2016/39', N'2016/09', N'2016', N'', N'&lt;Root&gt;&lt;/Root&gt;')</v>
      </c>
    </row>
    <row r="633" spans="1:6" x14ac:dyDescent="0.25">
      <c r="A633" s="7">
        <v>42634</v>
      </c>
      <c r="B633" t="str">
        <f t="shared" si="49"/>
        <v>2016/39</v>
      </c>
      <c r="C633" t="str">
        <f t="shared" si="45"/>
        <v>2016/09</v>
      </c>
      <c r="D633">
        <f t="shared" si="46"/>
        <v>2016</v>
      </c>
      <c r="E633" t="str">
        <f t="shared" si="47"/>
        <v/>
      </c>
      <c r="F633" s="2" t="str">
        <f t="shared" si="48"/>
        <v>INSERT INTO Master_Calendar (Date, Week, Month, Year, Holiday, XmlMeta) VALUES(N'2016-09-21', N'2016/39', N'2016/09', N'2016', N'', N'&lt;Root&gt;&lt;/Root&gt;')</v>
      </c>
    </row>
    <row r="634" spans="1:6" x14ac:dyDescent="0.25">
      <c r="A634" s="7">
        <v>42635</v>
      </c>
      <c r="B634" t="str">
        <f t="shared" si="49"/>
        <v>2016/39</v>
      </c>
      <c r="C634" t="str">
        <f t="shared" si="45"/>
        <v>2016/09</v>
      </c>
      <c r="D634">
        <f t="shared" si="46"/>
        <v>2016</v>
      </c>
      <c r="E634" t="str">
        <f t="shared" si="47"/>
        <v/>
      </c>
      <c r="F634" s="2" t="str">
        <f t="shared" si="48"/>
        <v>INSERT INTO Master_Calendar (Date, Week, Month, Year, Holiday, XmlMeta) VALUES(N'2016-09-22', N'2016/39', N'2016/09', N'2016', N'', N'&lt;Root&gt;&lt;/Root&gt;')</v>
      </c>
    </row>
    <row r="635" spans="1:6" x14ac:dyDescent="0.25">
      <c r="A635" s="7">
        <v>42636</v>
      </c>
      <c r="B635" t="str">
        <f t="shared" si="49"/>
        <v>2016/39</v>
      </c>
      <c r="C635" t="str">
        <f t="shared" si="45"/>
        <v>2016/09</v>
      </c>
      <c r="D635">
        <f t="shared" si="46"/>
        <v>2016</v>
      </c>
      <c r="E635" t="str">
        <f t="shared" si="47"/>
        <v/>
      </c>
      <c r="F635" s="2" t="str">
        <f t="shared" si="48"/>
        <v>INSERT INTO Master_Calendar (Date, Week, Month, Year, Holiday, XmlMeta) VALUES(N'2016-09-23', N'2016/39', N'2016/09', N'2016', N'', N'&lt;Root&gt;&lt;/Root&gt;')</v>
      </c>
    </row>
    <row r="636" spans="1:6" x14ac:dyDescent="0.25">
      <c r="A636" s="7">
        <v>42637</v>
      </c>
      <c r="B636" t="str">
        <f t="shared" si="49"/>
        <v>2016/39</v>
      </c>
      <c r="C636" t="str">
        <f t="shared" si="45"/>
        <v>2016/09</v>
      </c>
      <c r="D636">
        <f t="shared" si="46"/>
        <v>2016</v>
      </c>
      <c r="E636" t="str">
        <f t="shared" si="47"/>
        <v>Thứ 7</v>
      </c>
      <c r="F636" s="2" t="str">
        <f t="shared" si="48"/>
        <v>INSERT INTO Master_Calendar (Date, Week, Month, Year, Holiday, XmlMeta) VALUES(N'2016-09-24', N'2016/39', N'2016/09', N'2016', N'Thứ 7', N'&lt;Root&gt;&lt;/Root&gt;')</v>
      </c>
    </row>
    <row r="637" spans="1:6" x14ac:dyDescent="0.25">
      <c r="A637" s="7">
        <v>42638</v>
      </c>
      <c r="B637" t="str">
        <f t="shared" si="49"/>
        <v>2016/39</v>
      </c>
      <c r="C637" t="str">
        <f t="shared" si="45"/>
        <v>2016/09</v>
      </c>
      <c r="D637">
        <f t="shared" si="46"/>
        <v>2016</v>
      </c>
      <c r="E637" t="str">
        <f t="shared" si="47"/>
        <v>Chủ nhật</v>
      </c>
      <c r="F637" s="2" t="str">
        <f t="shared" si="48"/>
        <v>INSERT INTO Master_Calendar (Date, Week, Month, Year, Holiday, XmlMeta) VALUES(N'2016-09-25', N'2016/39', N'2016/09', N'2016', N'Chủ nhật', N'&lt;Root&gt;&lt;/Root&gt;')</v>
      </c>
    </row>
    <row r="638" spans="1:6" x14ac:dyDescent="0.25">
      <c r="A638" s="7">
        <v>42639</v>
      </c>
      <c r="B638" t="str">
        <f t="shared" si="49"/>
        <v>2016/40</v>
      </c>
      <c r="C638" t="str">
        <f t="shared" si="45"/>
        <v>2016/09</v>
      </c>
      <c r="D638">
        <f t="shared" si="46"/>
        <v>2016</v>
      </c>
      <c r="E638" t="str">
        <f t="shared" si="47"/>
        <v/>
      </c>
      <c r="F638" s="2" t="str">
        <f t="shared" si="48"/>
        <v>INSERT INTO Master_Calendar (Date, Week, Month, Year, Holiday, XmlMeta) VALUES(N'2016-09-26', N'2016/40', N'2016/09', N'2016', N'', N'&lt;Root&gt;&lt;/Root&gt;')</v>
      </c>
    </row>
    <row r="639" spans="1:6" x14ac:dyDescent="0.25">
      <c r="A639" s="7">
        <v>42640</v>
      </c>
      <c r="B639" t="str">
        <f t="shared" si="49"/>
        <v>2016/40</v>
      </c>
      <c r="C639" t="str">
        <f t="shared" si="45"/>
        <v>2016/09</v>
      </c>
      <c r="D639">
        <f t="shared" si="46"/>
        <v>2016</v>
      </c>
      <c r="E639" t="str">
        <f t="shared" si="47"/>
        <v/>
      </c>
      <c r="F639" s="2" t="str">
        <f t="shared" si="48"/>
        <v>INSERT INTO Master_Calendar (Date, Week, Month, Year, Holiday, XmlMeta) VALUES(N'2016-09-27', N'2016/40', N'2016/09', N'2016', N'', N'&lt;Root&gt;&lt;/Root&gt;')</v>
      </c>
    </row>
    <row r="640" spans="1:6" x14ac:dyDescent="0.25">
      <c r="A640" s="7">
        <v>42641</v>
      </c>
      <c r="B640" t="str">
        <f t="shared" si="49"/>
        <v>2016/40</v>
      </c>
      <c r="C640" t="str">
        <f t="shared" si="45"/>
        <v>2016/09</v>
      </c>
      <c r="D640">
        <f t="shared" si="46"/>
        <v>2016</v>
      </c>
      <c r="E640" t="str">
        <f t="shared" si="47"/>
        <v/>
      </c>
      <c r="F640" s="2" t="str">
        <f t="shared" si="48"/>
        <v>INSERT INTO Master_Calendar (Date, Week, Month, Year, Holiday, XmlMeta) VALUES(N'2016-09-28', N'2016/40', N'2016/09', N'2016', N'', N'&lt;Root&gt;&lt;/Root&gt;')</v>
      </c>
    </row>
    <row r="641" spans="1:6" x14ac:dyDescent="0.25">
      <c r="A641" s="7">
        <v>42642</v>
      </c>
      <c r="B641" t="str">
        <f t="shared" si="49"/>
        <v>2016/40</v>
      </c>
      <c r="C641" t="str">
        <f t="shared" si="45"/>
        <v>2016/09</v>
      </c>
      <c r="D641">
        <f t="shared" si="46"/>
        <v>2016</v>
      </c>
      <c r="E641" t="str">
        <f t="shared" si="47"/>
        <v/>
      </c>
      <c r="F641" s="2" t="str">
        <f t="shared" si="48"/>
        <v>INSERT INTO Master_Calendar (Date, Week, Month, Year, Holiday, XmlMeta) VALUES(N'2016-09-29', N'2016/40', N'2016/09', N'2016', N'', N'&lt;Root&gt;&lt;/Root&gt;')</v>
      </c>
    </row>
    <row r="642" spans="1:6" x14ac:dyDescent="0.25">
      <c r="A642" s="7">
        <v>42643</v>
      </c>
      <c r="B642" t="str">
        <f t="shared" si="49"/>
        <v>2016/40</v>
      </c>
      <c r="C642" t="str">
        <f t="shared" si="45"/>
        <v>2016/09</v>
      </c>
      <c r="D642">
        <f t="shared" si="46"/>
        <v>2016</v>
      </c>
      <c r="E642" t="str">
        <f t="shared" si="47"/>
        <v/>
      </c>
      <c r="F642" s="2" t="str">
        <f t="shared" si="48"/>
        <v>INSERT INTO Master_Calendar (Date, Week, Month, Year, Holiday, XmlMeta) VALUES(N'2016-09-30', N'2016/40', N'2016/09', N'2016', N'', N'&lt;Root&gt;&lt;/Root&gt;')</v>
      </c>
    </row>
    <row r="643" spans="1:6" x14ac:dyDescent="0.25">
      <c r="A643" s="7">
        <v>42644</v>
      </c>
      <c r="B643" t="str">
        <f t="shared" si="49"/>
        <v>2016/40</v>
      </c>
      <c r="C643" t="str">
        <f t="shared" si="45"/>
        <v>2016/10</v>
      </c>
      <c r="D643">
        <f t="shared" si="46"/>
        <v>2016</v>
      </c>
      <c r="E643" t="str">
        <f t="shared" si="47"/>
        <v>Thứ 7</v>
      </c>
      <c r="F643" s="2" t="str">
        <f t="shared" si="48"/>
        <v>INSERT INTO Master_Calendar (Date, Week, Month, Year, Holiday, XmlMeta) VALUES(N'2016-10-01', N'2016/40', N'2016/10', N'2016', N'Thứ 7', N'&lt;Root&gt;&lt;/Root&gt;')</v>
      </c>
    </row>
    <row r="644" spans="1:6" x14ac:dyDescent="0.25">
      <c r="A644" s="7">
        <v>42645</v>
      </c>
      <c r="B644" t="str">
        <f t="shared" si="49"/>
        <v>2016/40</v>
      </c>
      <c r="C644" t="str">
        <f t="shared" si="45"/>
        <v>2016/10</v>
      </c>
      <c r="D644">
        <f t="shared" si="46"/>
        <v>2016</v>
      </c>
      <c r="E644" t="str">
        <f t="shared" si="47"/>
        <v>Chủ nhật</v>
      </c>
      <c r="F644" s="2" t="str">
        <f t="shared" si="48"/>
        <v>INSERT INTO Master_Calendar (Date, Week, Month, Year, Holiday, XmlMeta) VALUES(N'2016-10-02', N'2016/40', N'2016/10', N'2016', N'Chủ nhật', N'&lt;Root&gt;&lt;/Root&gt;')</v>
      </c>
    </row>
    <row r="645" spans="1:6" x14ac:dyDescent="0.25">
      <c r="A645" s="7">
        <v>42646</v>
      </c>
      <c r="B645" t="str">
        <f t="shared" si="49"/>
        <v>2016/41</v>
      </c>
      <c r="C645" t="str">
        <f t="shared" ref="C645:C708" si="50">YEAR(A645)&amp;"/"&amp;RIGHT("00"&amp;MONTH(A645),2)</f>
        <v>2016/10</v>
      </c>
      <c r="D645">
        <f t="shared" ref="D645:D708" si="51">YEAR(A645)</f>
        <v>2016</v>
      </c>
      <c r="E645" t="str">
        <f t="shared" ref="E645:E708" si="52">IF(WEEKDAY(A645)=1, "Chủ nhật", IF(WEEKDAY(A645)=7, "Thứ 7", ""))</f>
        <v/>
      </c>
      <c r="F645" s="2" t="str">
        <f t="shared" ref="F645:F708" si="53">"INSERT INTO "&amp;$B$1&amp;" ("&amp;$A$3&amp;", "&amp;$B$3&amp;", "&amp;$C$3&amp;", "&amp;$D$3&amp;", "&amp;$E$3&amp;", XmlMeta) VALUES(N'"&amp;TEXT(A645, "yyyy-MM-dd")&amp;"', N'"&amp;B645&amp;"', N'"&amp;C645&amp;"', N'"&amp;D645&amp;"', N'"&amp;E645&amp;"', N'&lt;Root&gt;&lt;/Root&gt;')"</f>
        <v>INSERT INTO Master_Calendar (Date, Week, Month, Year, Holiday, XmlMeta) VALUES(N'2016-10-03', N'2016/41', N'2016/10', N'2016', N'', N'&lt;Root&gt;&lt;/Root&gt;')</v>
      </c>
    </row>
    <row r="646" spans="1:6" x14ac:dyDescent="0.25">
      <c r="A646" s="7">
        <v>42647</v>
      </c>
      <c r="B646" t="str">
        <f t="shared" ref="B646:B709" si="54">YEAR(A646) &amp; "/" &amp; RIGHT("00" &amp; IF(WEEKNUM(A646, 2) &gt; 52, 52, WEEKNUM(A646, 2)), 2)</f>
        <v>2016/41</v>
      </c>
      <c r="C646" t="str">
        <f t="shared" si="50"/>
        <v>2016/10</v>
      </c>
      <c r="D646">
        <f t="shared" si="51"/>
        <v>2016</v>
      </c>
      <c r="E646" t="str">
        <f t="shared" si="52"/>
        <v/>
      </c>
      <c r="F646" s="2" t="str">
        <f t="shared" si="53"/>
        <v>INSERT INTO Master_Calendar (Date, Week, Month, Year, Holiday, XmlMeta) VALUES(N'2016-10-04', N'2016/41', N'2016/10', N'2016', N'', N'&lt;Root&gt;&lt;/Root&gt;')</v>
      </c>
    </row>
    <row r="647" spans="1:6" x14ac:dyDescent="0.25">
      <c r="A647" s="7">
        <v>42648</v>
      </c>
      <c r="B647" t="str">
        <f t="shared" si="54"/>
        <v>2016/41</v>
      </c>
      <c r="C647" t="str">
        <f t="shared" si="50"/>
        <v>2016/10</v>
      </c>
      <c r="D647">
        <f t="shared" si="51"/>
        <v>2016</v>
      </c>
      <c r="E647" t="str">
        <f t="shared" si="52"/>
        <v/>
      </c>
      <c r="F647" s="2" t="str">
        <f t="shared" si="53"/>
        <v>INSERT INTO Master_Calendar (Date, Week, Month, Year, Holiday, XmlMeta) VALUES(N'2016-10-05', N'2016/41', N'2016/10', N'2016', N'', N'&lt;Root&gt;&lt;/Root&gt;')</v>
      </c>
    </row>
    <row r="648" spans="1:6" x14ac:dyDescent="0.25">
      <c r="A648" s="7">
        <v>42649</v>
      </c>
      <c r="B648" t="str">
        <f t="shared" si="54"/>
        <v>2016/41</v>
      </c>
      <c r="C648" t="str">
        <f t="shared" si="50"/>
        <v>2016/10</v>
      </c>
      <c r="D648">
        <f t="shared" si="51"/>
        <v>2016</v>
      </c>
      <c r="E648" t="str">
        <f t="shared" si="52"/>
        <v/>
      </c>
      <c r="F648" s="2" t="str">
        <f t="shared" si="53"/>
        <v>INSERT INTO Master_Calendar (Date, Week, Month, Year, Holiday, XmlMeta) VALUES(N'2016-10-06', N'2016/41', N'2016/10', N'2016', N'', N'&lt;Root&gt;&lt;/Root&gt;')</v>
      </c>
    </row>
    <row r="649" spans="1:6" x14ac:dyDescent="0.25">
      <c r="A649" s="7">
        <v>42650</v>
      </c>
      <c r="B649" t="str">
        <f t="shared" si="54"/>
        <v>2016/41</v>
      </c>
      <c r="C649" t="str">
        <f t="shared" si="50"/>
        <v>2016/10</v>
      </c>
      <c r="D649">
        <f t="shared" si="51"/>
        <v>2016</v>
      </c>
      <c r="E649" t="str">
        <f t="shared" si="52"/>
        <v/>
      </c>
      <c r="F649" s="2" t="str">
        <f t="shared" si="53"/>
        <v>INSERT INTO Master_Calendar (Date, Week, Month, Year, Holiday, XmlMeta) VALUES(N'2016-10-07', N'2016/41', N'2016/10', N'2016', N'', N'&lt;Root&gt;&lt;/Root&gt;')</v>
      </c>
    </row>
    <row r="650" spans="1:6" x14ac:dyDescent="0.25">
      <c r="A650" s="7">
        <v>42651</v>
      </c>
      <c r="B650" t="str">
        <f t="shared" si="54"/>
        <v>2016/41</v>
      </c>
      <c r="C650" t="str">
        <f t="shared" si="50"/>
        <v>2016/10</v>
      </c>
      <c r="D650">
        <f t="shared" si="51"/>
        <v>2016</v>
      </c>
      <c r="E650" t="str">
        <f t="shared" si="52"/>
        <v>Thứ 7</v>
      </c>
      <c r="F650" s="2" t="str">
        <f t="shared" si="53"/>
        <v>INSERT INTO Master_Calendar (Date, Week, Month, Year, Holiday, XmlMeta) VALUES(N'2016-10-08', N'2016/41', N'2016/10', N'2016', N'Thứ 7', N'&lt;Root&gt;&lt;/Root&gt;')</v>
      </c>
    </row>
    <row r="651" spans="1:6" x14ac:dyDescent="0.25">
      <c r="A651" s="7">
        <v>42652</v>
      </c>
      <c r="B651" t="str">
        <f t="shared" si="54"/>
        <v>2016/41</v>
      </c>
      <c r="C651" t="str">
        <f t="shared" si="50"/>
        <v>2016/10</v>
      </c>
      <c r="D651">
        <f t="shared" si="51"/>
        <v>2016</v>
      </c>
      <c r="E651" t="str">
        <f t="shared" si="52"/>
        <v>Chủ nhật</v>
      </c>
      <c r="F651" s="2" t="str">
        <f t="shared" si="53"/>
        <v>INSERT INTO Master_Calendar (Date, Week, Month, Year, Holiday, XmlMeta) VALUES(N'2016-10-09', N'2016/41', N'2016/10', N'2016', N'Chủ nhật', N'&lt;Root&gt;&lt;/Root&gt;')</v>
      </c>
    </row>
    <row r="652" spans="1:6" x14ac:dyDescent="0.25">
      <c r="A652" s="7">
        <v>42653</v>
      </c>
      <c r="B652" t="str">
        <f t="shared" si="54"/>
        <v>2016/42</v>
      </c>
      <c r="C652" t="str">
        <f t="shared" si="50"/>
        <v>2016/10</v>
      </c>
      <c r="D652">
        <f t="shared" si="51"/>
        <v>2016</v>
      </c>
      <c r="E652" t="str">
        <f t="shared" si="52"/>
        <v/>
      </c>
      <c r="F652" s="2" t="str">
        <f t="shared" si="53"/>
        <v>INSERT INTO Master_Calendar (Date, Week, Month, Year, Holiday, XmlMeta) VALUES(N'2016-10-10', N'2016/42', N'2016/10', N'2016', N'', N'&lt;Root&gt;&lt;/Root&gt;')</v>
      </c>
    </row>
    <row r="653" spans="1:6" x14ac:dyDescent="0.25">
      <c r="A653" s="7">
        <v>42654</v>
      </c>
      <c r="B653" t="str">
        <f t="shared" si="54"/>
        <v>2016/42</v>
      </c>
      <c r="C653" t="str">
        <f t="shared" si="50"/>
        <v>2016/10</v>
      </c>
      <c r="D653">
        <f t="shared" si="51"/>
        <v>2016</v>
      </c>
      <c r="E653" t="str">
        <f t="shared" si="52"/>
        <v/>
      </c>
      <c r="F653" s="2" t="str">
        <f t="shared" si="53"/>
        <v>INSERT INTO Master_Calendar (Date, Week, Month, Year, Holiday, XmlMeta) VALUES(N'2016-10-11', N'2016/42', N'2016/10', N'2016', N'', N'&lt;Root&gt;&lt;/Root&gt;')</v>
      </c>
    </row>
    <row r="654" spans="1:6" x14ac:dyDescent="0.25">
      <c r="A654" s="7">
        <v>42655</v>
      </c>
      <c r="B654" t="str">
        <f t="shared" si="54"/>
        <v>2016/42</v>
      </c>
      <c r="C654" t="str">
        <f t="shared" si="50"/>
        <v>2016/10</v>
      </c>
      <c r="D654">
        <f t="shared" si="51"/>
        <v>2016</v>
      </c>
      <c r="E654" t="str">
        <f t="shared" si="52"/>
        <v/>
      </c>
      <c r="F654" s="2" t="str">
        <f t="shared" si="53"/>
        <v>INSERT INTO Master_Calendar (Date, Week, Month, Year, Holiday, XmlMeta) VALUES(N'2016-10-12', N'2016/42', N'2016/10', N'2016', N'', N'&lt;Root&gt;&lt;/Root&gt;')</v>
      </c>
    </row>
    <row r="655" spans="1:6" x14ac:dyDescent="0.25">
      <c r="A655" s="7">
        <v>42656</v>
      </c>
      <c r="B655" t="str">
        <f t="shared" si="54"/>
        <v>2016/42</v>
      </c>
      <c r="C655" t="str">
        <f t="shared" si="50"/>
        <v>2016/10</v>
      </c>
      <c r="D655">
        <f t="shared" si="51"/>
        <v>2016</v>
      </c>
      <c r="E655" t="str">
        <f t="shared" si="52"/>
        <v/>
      </c>
      <c r="F655" s="2" t="str">
        <f t="shared" si="53"/>
        <v>INSERT INTO Master_Calendar (Date, Week, Month, Year, Holiday, XmlMeta) VALUES(N'2016-10-13', N'2016/42', N'2016/10', N'2016', N'', N'&lt;Root&gt;&lt;/Root&gt;')</v>
      </c>
    </row>
    <row r="656" spans="1:6" x14ac:dyDescent="0.25">
      <c r="A656" s="7">
        <v>42657</v>
      </c>
      <c r="B656" t="str">
        <f t="shared" si="54"/>
        <v>2016/42</v>
      </c>
      <c r="C656" t="str">
        <f t="shared" si="50"/>
        <v>2016/10</v>
      </c>
      <c r="D656">
        <f t="shared" si="51"/>
        <v>2016</v>
      </c>
      <c r="E656" t="str">
        <f t="shared" si="52"/>
        <v/>
      </c>
      <c r="F656" s="2" t="str">
        <f t="shared" si="53"/>
        <v>INSERT INTO Master_Calendar (Date, Week, Month, Year, Holiday, XmlMeta) VALUES(N'2016-10-14', N'2016/42', N'2016/10', N'2016', N'', N'&lt;Root&gt;&lt;/Root&gt;')</v>
      </c>
    </row>
    <row r="657" spans="1:6" x14ac:dyDescent="0.25">
      <c r="A657" s="7">
        <v>42658</v>
      </c>
      <c r="B657" t="str">
        <f t="shared" si="54"/>
        <v>2016/42</v>
      </c>
      <c r="C657" t="str">
        <f t="shared" si="50"/>
        <v>2016/10</v>
      </c>
      <c r="D657">
        <f t="shared" si="51"/>
        <v>2016</v>
      </c>
      <c r="E657" t="str">
        <f t="shared" si="52"/>
        <v>Thứ 7</v>
      </c>
      <c r="F657" s="2" t="str">
        <f t="shared" si="53"/>
        <v>INSERT INTO Master_Calendar (Date, Week, Month, Year, Holiday, XmlMeta) VALUES(N'2016-10-15', N'2016/42', N'2016/10', N'2016', N'Thứ 7', N'&lt;Root&gt;&lt;/Root&gt;')</v>
      </c>
    </row>
    <row r="658" spans="1:6" x14ac:dyDescent="0.25">
      <c r="A658" s="7">
        <v>42659</v>
      </c>
      <c r="B658" t="str">
        <f t="shared" si="54"/>
        <v>2016/42</v>
      </c>
      <c r="C658" t="str">
        <f t="shared" si="50"/>
        <v>2016/10</v>
      </c>
      <c r="D658">
        <f t="shared" si="51"/>
        <v>2016</v>
      </c>
      <c r="E658" t="str">
        <f t="shared" si="52"/>
        <v>Chủ nhật</v>
      </c>
      <c r="F658" s="2" t="str">
        <f t="shared" si="53"/>
        <v>INSERT INTO Master_Calendar (Date, Week, Month, Year, Holiday, XmlMeta) VALUES(N'2016-10-16', N'2016/42', N'2016/10', N'2016', N'Chủ nhật', N'&lt;Root&gt;&lt;/Root&gt;')</v>
      </c>
    </row>
    <row r="659" spans="1:6" x14ac:dyDescent="0.25">
      <c r="A659" s="7">
        <v>42660</v>
      </c>
      <c r="B659" t="str">
        <f t="shared" si="54"/>
        <v>2016/43</v>
      </c>
      <c r="C659" t="str">
        <f t="shared" si="50"/>
        <v>2016/10</v>
      </c>
      <c r="D659">
        <f t="shared" si="51"/>
        <v>2016</v>
      </c>
      <c r="E659" t="str">
        <f t="shared" si="52"/>
        <v/>
      </c>
      <c r="F659" s="2" t="str">
        <f t="shared" si="53"/>
        <v>INSERT INTO Master_Calendar (Date, Week, Month, Year, Holiday, XmlMeta) VALUES(N'2016-10-17', N'2016/43', N'2016/10', N'2016', N'', N'&lt;Root&gt;&lt;/Root&gt;')</v>
      </c>
    </row>
    <row r="660" spans="1:6" x14ac:dyDescent="0.25">
      <c r="A660" s="7">
        <v>42661</v>
      </c>
      <c r="B660" t="str">
        <f t="shared" si="54"/>
        <v>2016/43</v>
      </c>
      <c r="C660" t="str">
        <f t="shared" si="50"/>
        <v>2016/10</v>
      </c>
      <c r="D660">
        <f t="shared" si="51"/>
        <v>2016</v>
      </c>
      <c r="E660" t="str">
        <f t="shared" si="52"/>
        <v/>
      </c>
      <c r="F660" s="2" t="str">
        <f t="shared" si="53"/>
        <v>INSERT INTO Master_Calendar (Date, Week, Month, Year, Holiday, XmlMeta) VALUES(N'2016-10-18', N'2016/43', N'2016/10', N'2016', N'', N'&lt;Root&gt;&lt;/Root&gt;')</v>
      </c>
    </row>
    <row r="661" spans="1:6" x14ac:dyDescent="0.25">
      <c r="A661" s="7">
        <v>42662</v>
      </c>
      <c r="B661" t="str">
        <f t="shared" si="54"/>
        <v>2016/43</v>
      </c>
      <c r="C661" t="str">
        <f t="shared" si="50"/>
        <v>2016/10</v>
      </c>
      <c r="D661">
        <f t="shared" si="51"/>
        <v>2016</v>
      </c>
      <c r="E661" t="str">
        <f t="shared" si="52"/>
        <v/>
      </c>
      <c r="F661" s="2" t="str">
        <f t="shared" si="53"/>
        <v>INSERT INTO Master_Calendar (Date, Week, Month, Year, Holiday, XmlMeta) VALUES(N'2016-10-19', N'2016/43', N'2016/10', N'2016', N'', N'&lt;Root&gt;&lt;/Root&gt;')</v>
      </c>
    </row>
    <row r="662" spans="1:6" x14ac:dyDescent="0.25">
      <c r="A662" s="7">
        <v>42663</v>
      </c>
      <c r="B662" t="str">
        <f t="shared" si="54"/>
        <v>2016/43</v>
      </c>
      <c r="C662" t="str">
        <f t="shared" si="50"/>
        <v>2016/10</v>
      </c>
      <c r="D662">
        <f t="shared" si="51"/>
        <v>2016</v>
      </c>
      <c r="E662" t="str">
        <f t="shared" si="52"/>
        <v/>
      </c>
      <c r="F662" s="2" t="str">
        <f t="shared" si="53"/>
        <v>INSERT INTO Master_Calendar (Date, Week, Month, Year, Holiday, XmlMeta) VALUES(N'2016-10-20', N'2016/43', N'2016/10', N'2016', N'', N'&lt;Root&gt;&lt;/Root&gt;')</v>
      </c>
    </row>
    <row r="663" spans="1:6" x14ac:dyDescent="0.25">
      <c r="A663" s="7">
        <v>42664</v>
      </c>
      <c r="B663" t="str">
        <f t="shared" si="54"/>
        <v>2016/43</v>
      </c>
      <c r="C663" t="str">
        <f t="shared" si="50"/>
        <v>2016/10</v>
      </c>
      <c r="D663">
        <f t="shared" si="51"/>
        <v>2016</v>
      </c>
      <c r="E663" t="str">
        <f t="shared" si="52"/>
        <v/>
      </c>
      <c r="F663" s="2" t="str">
        <f t="shared" si="53"/>
        <v>INSERT INTO Master_Calendar (Date, Week, Month, Year, Holiday, XmlMeta) VALUES(N'2016-10-21', N'2016/43', N'2016/10', N'2016', N'', N'&lt;Root&gt;&lt;/Root&gt;')</v>
      </c>
    </row>
    <row r="664" spans="1:6" x14ac:dyDescent="0.25">
      <c r="A664" s="7">
        <v>42665</v>
      </c>
      <c r="B664" t="str">
        <f t="shared" si="54"/>
        <v>2016/43</v>
      </c>
      <c r="C664" t="str">
        <f t="shared" si="50"/>
        <v>2016/10</v>
      </c>
      <c r="D664">
        <f t="shared" si="51"/>
        <v>2016</v>
      </c>
      <c r="E664" t="str">
        <f t="shared" si="52"/>
        <v>Thứ 7</v>
      </c>
      <c r="F664" s="2" t="str">
        <f t="shared" si="53"/>
        <v>INSERT INTO Master_Calendar (Date, Week, Month, Year, Holiday, XmlMeta) VALUES(N'2016-10-22', N'2016/43', N'2016/10', N'2016', N'Thứ 7', N'&lt;Root&gt;&lt;/Root&gt;')</v>
      </c>
    </row>
    <row r="665" spans="1:6" x14ac:dyDescent="0.25">
      <c r="A665" s="7">
        <v>42666</v>
      </c>
      <c r="B665" t="str">
        <f t="shared" si="54"/>
        <v>2016/43</v>
      </c>
      <c r="C665" t="str">
        <f t="shared" si="50"/>
        <v>2016/10</v>
      </c>
      <c r="D665">
        <f t="shared" si="51"/>
        <v>2016</v>
      </c>
      <c r="E665" t="str">
        <f t="shared" si="52"/>
        <v>Chủ nhật</v>
      </c>
      <c r="F665" s="2" t="str">
        <f t="shared" si="53"/>
        <v>INSERT INTO Master_Calendar (Date, Week, Month, Year, Holiday, XmlMeta) VALUES(N'2016-10-23', N'2016/43', N'2016/10', N'2016', N'Chủ nhật', N'&lt;Root&gt;&lt;/Root&gt;')</v>
      </c>
    </row>
    <row r="666" spans="1:6" x14ac:dyDescent="0.25">
      <c r="A666" s="7">
        <v>42667</v>
      </c>
      <c r="B666" t="str">
        <f t="shared" si="54"/>
        <v>2016/44</v>
      </c>
      <c r="C666" t="str">
        <f t="shared" si="50"/>
        <v>2016/10</v>
      </c>
      <c r="D666">
        <f t="shared" si="51"/>
        <v>2016</v>
      </c>
      <c r="E666" t="str">
        <f t="shared" si="52"/>
        <v/>
      </c>
      <c r="F666" s="2" t="str">
        <f t="shared" si="53"/>
        <v>INSERT INTO Master_Calendar (Date, Week, Month, Year, Holiday, XmlMeta) VALUES(N'2016-10-24', N'2016/44', N'2016/10', N'2016', N'', N'&lt;Root&gt;&lt;/Root&gt;')</v>
      </c>
    </row>
    <row r="667" spans="1:6" x14ac:dyDescent="0.25">
      <c r="A667" s="7">
        <v>42668</v>
      </c>
      <c r="B667" t="str">
        <f t="shared" si="54"/>
        <v>2016/44</v>
      </c>
      <c r="C667" t="str">
        <f t="shared" si="50"/>
        <v>2016/10</v>
      </c>
      <c r="D667">
        <f t="shared" si="51"/>
        <v>2016</v>
      </c>
      <c r="E667" t="str">
        <f t="shared" si="52"/>
        <v/>
      </c>
      <c r="F667" s="2" t="str">
        <f t="shared" si="53"/>
        <v>INSERT INTO Master_Calendar (Date, Week, Month, Year, Holiday, XmlMeta) VALUES(N'2016-10-25', N'2016/44', N'2016/10', N'2016', N'', N'&lt;Root&gt;&lt;/Root&gt;')</v>
      </c>
    </row>
    <row r="668" spans="1:6" x14ac:dyDescent="0.25">
      <c r="A668" s="7">
        <v>42669</v>
      </c>
      <c r="B668" t="str">
        <f t="shared" si="54"/>
        <v>2016/44</v>
      </c>
      <c r="C668" t="str">
        <f t="shared" si="50"/>
        <v>2016/10</v>
      </c>
      <c r="D668">
        <f t="shared" si="51"/>
        <v>2016</v>
      </c>
      <c r="E668" t="str">
        <f t="shared" si="52"/>
        <v/>
      </c>
      <c r="F668" s="2" t="str">
        <f t="shared" si="53"/>
        <v>INSERT INTO Master_Calendar (Date, Week, Month, Year, Holiday, XmlMeta) VALUES(N'2016-10-26', N'2016/44', N'2016/10', N'2016', N'', N'&lt;Root&gt;&lt;/Root&gt;')</v>
      </c>
    </row>
    <row r="669" spans="1:6" x14ac:dyDescent="0.25">
      <c r="A669" s="7">
        <v>42670</v>
      </c>
      <c r="B669" t="str">
        <f t="shared" si="54"/>
        <v>2016/44</v>
      </c>
      <c r="C669" t="str">
        <f t="shared" si="50"/>
        <v>2016/10</v>
      </c>
      <c r="D669">
        <f t="shared" si="51"/>
        <v>2016</v>
      </c>
      <c r="E669" t="str">
        <f t="shared" si="52"/>
        <v/>
      </c>
      <c r="F669" s="2" t="str">
        <f t="shared" si="53"/>
        <v>INSERT INTO Master_Calendar (Date, Week, Month, Year, Holiday, XmlMeta) VALUES(N'2016-10-27', N'2016/44', N'2016/10', N'2016', N'', N'&lt;Root&gt;&lt;/Root&gt;')</v>
      </c>
    </row>
    <row r="670" spans="1:6" x14ac:dyDescent="0.25">
      <c r="A670" s="7">
        <v>42671</v>
      </c>
      <c r="B670" t="str">
        <f t="shared" si="54"/>
        <v>2016/44</v>
      </c>
      <c r="C670" t="str">
        <f t="shared" si="50"/>
        <v>2016/10</v>
      </c>
      <c r="D670">
        <f t="shared" si="51"/>
        <v>2016</v>
      </c>
      <c r="E670" t="str">
        <f t="shared" si="52"/>
        <v/>
      </c>
      <c r="F670" s="2" t="str">
        <f t="shared" si="53"/>
        <v>INSERT INTO Master_Calendar (Date, Week, Month, Year, Holiday, XmlMeta) VALUES(N'2016-10-28', N'2016/44', N'2016/10', N'2016', N'', N'&lt;Root&gt;&lt;/Root&gt;')</v>
      </c>
    </row>
    <row r="671" spans="1:6" x14ac:dyDescent="0.25">
      <c r="A671" s="7">
        <v>42672</v>
      </c>
      <c r="B671" t="str">
        <f t="shared" si="54"/>
        <v>2016/44</v>
      </c>
      <c r="C671" t="str">
        <f t="shared" si="50"/>
        <v>2016/10</v>
      </c>
      <c r="D671">
        <f t="shared" si="51"/>
        <v>2016</v>
      </c>
      <c r="E671" t="str">
        <f t="shared" si="52"/>
        <v>Thứ 7</v>
      </c>
      <c r="F671" s="2" t="str">
        <f t="shared" si="53"/>
        <v>INSERT INTO Master_Calendar (Date, Week, Month, Year, Holiday, XmlMeta) VALUES(N'2016-10-29', N'2016/44', N'2016/10', N'2016', N'Thứ 7', N'&lt;Root&gt;&lt;/Root&gt;')</v>
      </c>
    </row>
    <row r="672" spans="1:6" x14ac:dyDescent="0.25">
      <c r="A672" s="7">
        <v>42673</v>
      </c>
      <c r="B672" t="str">
        <f t="shared" si="54"/>
        <v>2016/44</v>
      </c>
      <c r="C672" t="str">
        <f t="shared" si="50"/>
        <v>2016/10</v>
      </c>
      <c r="D672">
        <f t="shared" si="51"/>
        <v>2016</v>
      </c>
      <c r="E672" t="str">
        <f t="shared" si="52"/>
        <v>Chủ nhật</v>
      </c>
      <c r="F672" s="2" t="str">
        <f t="shared" si="53"/>
        <v>INSERT INTO Master_Calendar (Date, Week, Month, Year, Holiday, XmlMeta) VALUES(N'2016-10-30', N'2016/44', N'2016/10', N'2016', N'Chủ nhật', N'&lt;Root&gt;&lt;/Root&gt;')</v>
      </c>
    </row>
    <row r="673" spans="1:6" x14ac:dyDescent="0.25">
      <c r="A673" s="7">
        <v>42674</v>
      </c>
      <c r="B673" t="str">
        <f t="shared" si="54"/>
        <v>2016/45</v>
      </c>
      <c r="C673" t="str">
        <f t="shared" si="50"/>
        <v>2016/10</v>
      </c>
      <c r="D673">
        <f t="shared" si="51"/>
        <v>2016</v>
      </c>
      <c r="E673" t="str">
        <f t="shared" si="52"/>
        <v/>
      </c>
      <c r="F673" s="2" t="str">
        <f t="shared" si="53"/>
        <v>INSERT INTO Master_Calendar (Date, Week, Month, Year, Holiday, XmlMeta) VALUES(N'2016-10-31', N'2016/45', N'2016/10', N'2016', N'', N'&lt;Root&gt;&lt;/Root&gt;')</v>
      </c>
    </row>
    <row r="674" spans="1:6" x14ac:dyDescent="0.25">
      <c r="A674" s="7">
        <v>42675</v>
      </c>
      <c r="B674" t="str">
        <f t="shared" si="54"/>
        <v>2016/45</v>
      </c>
      <c r="C674" t="str">
        <f t="shared" si="50"/>
        <v>2016/11</v>
      </c>
      <c r="D674">
        <f t="shared" si="51"/>
        <v>2016</v>
      </c>
      <c r="E674" t="str">
        <f t="shared" si="52"/>
        <v/>
      </c>
      <c r="F674" s="2" t="str">
        <f t="shared" si="53"/>
        <v>INSERT INTO Master_Calendar (Date, Week, Month, Year, Holiday, XmlMeta) VALUES(N'2016-11-01', N'2016/45', N'2016/11', N'2016', N'', N'&lt;Root&gt;&lt;/Root&gt;')</v>
      </c>
    </row>
    <row r="675" spans="1:6" x14ac:dyDescent="0.25">
      <c r="A675" s="7">
        <v>42676</v>
      </c>
      <c r="B675" t="str">
        <f t="shared" si="54"/>
        <v>2016/45</v>
      </c>
      <c r="C675" t="str">
        <f t="shared" si="50"/>
        <v>2016/11</v>
      </c>
      <c r="D675">
        <f t="shared" si="51"/>
        <v>2016</v>
      </c>
      <c r="E675" t="str">
        <f t="shared" si="52"/>
        <v/>
      </c>
      <c r="F675" s="2" t="str">
        <f t="shared" si="53"/>
        <v>INSERT INTO Master_Calendar (Date, Week, Month, Year, Holiday, XmlMeta) VALUES(N'2016-11-02', N'2016/45', N'2016/11', N'2016', N'', N'&lt;Root&gt;&lt;/Root&gt;')</v>
      </c>
    </row>
    <row r="676" spans="1:6" x14ac:dyDescent="0.25">
      <c r="A676" s="7">
        <v>42677</v>
      </c>
      <c r="B676" t="str">
        <f t="shared" si="54"/>
        <v>2016/45</v>
      </c>
      <c r="C676" t="str">
        <f t="shared" si="50"/>
        <v>2016/11</v>
      </c>
      <c r="D676">
        <f t="shared" si="51"/>
        <v>2016</v>
      </c>
      <c r="E676" t="str">
        <f t="shared" si="52"/>
        <v/>
      </c>
      <c r="F676" s="2" t="str">
        <f t="shared" si="53"/>
        <v>INSERT INTO Master_Calendar (Date, Week, Month, Year, Holiday, XmlMeta) VALUES(N'2016-11-03', N'2016/45', N'2016/11', N'2016', N'', N'&lt;Root&gt;&lt;/Root&gt;')</v>
      </c>
    </row>
    <row r="677" spans="1:6" x14ac:dyDescent="0.25">
      <c r="A677" s="7">
        <v>42678</v>
      </c>
      <c r="B677" t="str">
        <f t="shared" si="54"/>
        <v>2016/45</v>
      </c>
      <c r="C677" t="str">
        <f t="shared" si="50"/>
        <v>2016/11</v>
      </c>
      <c r="D677">
        <f t="shared" si="51"/>
        <v>2016</v>
      </c>
      <c r="E677" t="str">
        <f t="shared" si="52"/>
        <v/>
      </c>
      <c r="F677" s="2" t="str">
        <f t="shared" si="53"/>
        <v>INSERT INTO Master_Calendar (Date, Week, Month, Year, Holiday, XmlMeta) VALUES(N'2016-11-04', N'2016/45', N'2016/11', N'2016', N'', N'&lt;Root&gt;&lt;/Root&gt;')</v>
      </c>
    </row>
    <row r="678" spans="1:6" x14ac:dyDescent="0.25">
      <c r="A678" s="7">
        <v>42679</v>
      </c>
      <c r="B678" t="str">
        <f t="shared" si="54"/>
        <v>2016/45</v>
      </c>
      <c r="C678" t="str">
        <f t="shared" si="50"/>
        <v>2016/11</v>
      </c>
      <c r="D678">
        <f t="shared" si="51"/>
        <v>2016</v>
      </c>
      <c r="E678" t="str">
        <f t="shared" si="52"/>
        <v>Thứ 7</v>
      </c>
      <c r="F678" s="2" t="str">
        <f t="shared" si="53"/>
        <v>INSERT INTO Master_Calendar (Date, Week, Month, Year, Holiday, XmlMeta) VALUES(N'2016-11-05', N'2016/45', N'2016/11', N'2016', N'Thứ 7', N'&lt;Root&gt;&lt;/Root&gt;')</v>
      </c>
    </row>
    <row r="679" spans="1:6" x14ac:dyDescent="0.25">
      <c r="A679" s="7">
        <v>42680</v>
      </c>
      <c r="B679" t="str">
        <f t="shared" si="54"/>
        <v>2016/45</v>
      </c>
      <c r="C679" t="str">
        <f t="shared" si="50"/>
        <v>2016/11</v>
      </c>
      <c r="D679">
        <f t="shared" si="51"/>
        <v>2016</v>
      </c>
      <c r="E679" t="str">
        <f t="shared" si="52"/>
        <v>Chủ nhật</v>
      </c>
      <c r="F679" s="2" t="str">
        <f t="shared" si="53"/>
        <v>INSERT INTO Master_Calendar (Date, Week, Month, Year, Holiday, XmlMeta) VALUES(N'2016-11-06', N'2016/45', N'2016/11', N'2016', N'Chủ nhật', N'&lt;Root&gt;&lt;/Root&gt;')</v>
      </c>
    </row>
    <row r="680" spans="1:6" x14ac:dyDescent="0.25">
      <c r="A680" s="7">
        <v>42681</v>
      </c>
      <c r="B680" t="str">
        <f t="shared" si="54"/>
        <v>2016/46</v>
      </c>
      <c r="C680" t="str">
        <f t="shared" si="50"/>
        <v>2016/11</v>
      </c>
      <c r="D680">
        <f t="shared" si="51"/>
        <v>2016</v>
      </c>
      <c r="E680" t="str">
        <f t="shared" si="52"/>
        <v/>
      </c>
      <c r="F680" s="2" t="str">
        <f t="shared" si="53"/>
        <v>INSERT INTO Master_Calendar (Date, Week, Month, Year, Holiday, XmlMeta) VALUES(N'2016-11-07', N'2016/46', N'2016/11', N'2016', N'', N'&lt;Root&gt;&lt;/Root&gt;')</v>
      </c>
    </row>
    <row r="681" spans="1:6" x14ac:dyDescent="0.25">
      <c r="A681" s="7">
        <v>42682</v>
      </c>
      <c r="B681" t="str">
        <f t="shared" si="54"/>
        <v>2016/46</v>
      </c>
      <c r="C681" t="str">
        <f t="shared" si="50"/>
        <v>2016/11</v>
      </c>
      <c r="D681">
        <f t="shared" si="51"/>
        <v>2016</v>
      </c>
      <c r="E681" t="str">
        <f t="shared" si="52"/>
        <v/>
      </c>
      <c r="F681" s="2" t="str">
        <f t="shared" si="53"/>
        <v>INSERT INTO Master_Calendar (Date, Week, Month, Year, Holiday, XmlMeta) VALUES(N'2016-11-08', N'2016/46', N'2016/11', N'2016', N'', N'&lt;Root&gt;&lt;/Root&gt;')</v>
      </c>
    </row>
    <row r="682" spans="1:6" x14ac:dyDescent="0.25">
      <c r="A682" s="7">
        <v>42683</v>
      </c>
      <c r="B682" t="str">
        <f t="shared" si="54"/>
        <v>2016/46</v>
      </c>
      <c r="C682" t="str">
        <f t="shared" si="50"/>
        <v>2016/11</v>
      </c>
      <c r="D682">
        <f t="shared" si="51"/>
        <v>2016</v>
      </c>
      <c r="E682" t="str">
        <f t="shared" si="52"/>
        <v/>
      </c>
      <c r="F682" s="2" t="str">
        <f t="shared" si="53"/>
        <v>INSERT INTO Master_Calendar (Date, Week, Month, Year, Holiday, XmlMeta) VALUES(N'2016-11-09', N'2016/46', N'2016/11', N'2016', N'', N'&lt;Root&gt;&lt;/Root&gt;')</v>
      </c>
    </row>
    <row r="683" spans="1:6" x14ac:dyDescent="0.25">
      <c r="A683" s="7">
        <v>42684</v>
      </c>
      <c r="B683" t="str">
        <f t="shared" si="54"/>
        <v>2016/46</v>
      </c>
      <c r="C683" t="str">
        <f t="shared" si="50"/>
        <v>2016/11</v>
      </c>
      <c r="D683">
        <f t="shared" si="51"/>
        <v>2016</v>
      </c>
      <c r="E683" t="str">
        <f t="shared" si="52"/>
        <v/>
      </c>
      <c r="F683" s="2" t="str">
        <f t="shared" si="53"/>
        <v>INSERT INTO Master_Calendar (Date, Week, Month, Year, Holiday, XmlMeta) VALUES(N'2016-11-10', N'2016/46', N'2016/11', N'2016', N'', N'&lt;Root&gt;&lt;/Root&gt;')</v>
      </c>
    </row>
    <row r="684" spans="1:6" x14ac:dyDescent="0.25">
      <c r="A684" s="7">
        <v>42685</v>
      </c>
      <c r="B684" t="str">
        <f t="shared" si="54"/>
        <v>2016/46</v>
      </c>
      <c r="C684" t="str">
        <f t="shared" si="50"/>
        <v>2016/11</v>
      </c>
      <c r="D684">
        <f t="shared" si="51"/>
        <v>2016</v>
      </c>
      <c r="E684" t="str">
        <f t="shared" si="52"/>
        <v/>
      </c>
      <c r="F684" s="2" t="str">
        <f t="shared" si="53"/>
        <v>INSERT INTO Master_Calendar (Date, Week, Month, Year, Holiday, XmlMeta) VALUES(N'2016-11-11', N'2016/46', N'2016/11', N'2016', N'', N'&lt;Root&gt;&lt;/Root&gt;')</v>
      </c>
    </row>
    <row r="685" spans="1:6" x14ac:dyDescent="0.25">
      <c r="A685" s="7">
        <v>42686</v>
      </c>
      <c r="B685" t="str">
        <f t="shared" si="54"/>
        <v>2016/46</v>
      </c>
      <c r="C685" t="str">
        <f t="shared" si="50"/>
        <v>2016/11</v>
      </c>
      <c r="D685">
        <f t="shared" si="51"/>
        <v>2016</v>
      </c>
      <c r="E685" t="str">
        <f t="shared" si="52"/>
        <v>Thứ 7</v>
      </c>
      <c r="F685" s="2" t="str">
        <f t="shared" si="53"/>
        <v>INSERT INTO Master_Calendar (Date, Week, Month, Year, Holiday, XmlMeta) VALUES(N'2016-11-12', N'2016/46', N'2016/11', N'2016', N'Thứ 7', N'&lt;Root&gt;&lt;/Root&gt;')</v>
      </c>
    </row>
    <row r="686" spans="1:6" x14ac:dyDescent="0.25">
      <c r="A686" s="7">
        <v>42687</v>
      </c>
      <c r="B686" t="str">
        <f t="shared" si="54"/>
        <v>2016/46</v>
      </c>
      <c r="C686" t="str">
        <f t="shared" si="50"/>
        <v>2016/11</v>
      </c>
      <c r="D686">
        <f t="shared" si="51"/>
        <v>2016</v>
      </c>
      <c r="E686" t="str">
        <f t="shared" si="52"/>
        <v>Chủ nhật</v>
      </c>
      <c r="F686" s="2" t="str">
        <f t="shared" si="53"/>
        <v>INSERT INTO Master_Calendar (Date, Week, Month, Year, Holiday, XmlMeta) VALUES(N'2016-11-13', N'2016/46', N'2016/11', N'2016', N'Chủ nhật', N'&lt;Root&gt;&lt;/Root&gt;')</v>
      </c>
    </row>
    <row r="687" spans="1:6" x14ac:dyDescent="0.25">
      <c r="A687" s="7">
        <v>42688</v>
      </c>
      <c r="B687" t="str">
        <f t="shared" si="54"/>
        <v>2016/47</v>
      </c>
      <c r="C687" t="str">
        <f t="shared" si="50"/>
        <v>2016/11</v>
      </c>
      <c r="D687">
        <f t="shared" si="51"/>
        <v>2016</v>
      </c>
      <c r="E687" t="str">
        <f t="shared" si="52"/>
        <v/>
      </c>
      <c r="F687" s="2" t="str">
        <f t="shared" si="53"/>
        <v>INSERT INTO Master_Calendar (Date, Week, Month, Year, Holiday, XmlMeta) VALUES(N'2016-11-14', N'2016/47', N'2016/11', N'2016', N'', N'&lt;Root&gt;&lt;/Root&gt;')</v>
      </c>
    </row>
    <row r="688" spans="1:6" x14ac:dyDescent="0.25">
      <c r="A688" s="7">
        <v>42689</v>
      </c>
      <c r="B688" t="str">
        <f t="shared" si="54"/>
        <v>2016/47</v>
      </c>
      <c r="C688" t="str">
        <f t="shared" si="50"/>
        <v>2016/11</v>
      </c>
      <c r="D688">
        <f t="shared" si="51"/>
        <v>2016</v>
      </c>
      <c r="E688" t="str">
        <f t="shared" si="52"/>
        <v/>
      </c>
      <c r="F688" s="2" t="str">
        <f t="shared" si="53"/>
        <v>INSERT INTO Master_Calendar (Date, Week, Month, Year, Holiday, XmlMeta) VALUES(N'2016-11-15', N'2016/47', N'2016/11', N'2016', N'', N'&lt;Root&gt;&lt;/Root&gt;')</v>
      </c>
    </row>
    <row r="689" spans="1:6" x14ac:dyDescent="0.25">
      <c r="A689" s="7">
        <v>42690</v>
      </c>
      <c r="B689" t="str">
        <f t="shared" si="54"/>
        <v>2016/47</v>
      </c>
      <c r="C689" t="str">
        <f t="shared" si="50"/>
        <v>2016/11</v>
      </c>
      <c r="D689">
        <f t="shared" si="51"/>
        <v>2016</v>
      </c>
      <c r="E689" t="str">
        <f t="shared" si="52"/>
        <v/>
      </c>
      <c r="F689" s="2" t="str">
        <f t="shared" si="53"/>
        <v>INSERT INTO Master_Calendar (Date, Week, Month, Year, Holiday, XmlMeta) VALUES(N'2016-11-16', N'2016/47', N'2016/11', N'2016', N'', N'&lt;Root&gt;&lt;/Root&gt;')</v>
      </c>
    </row>
    <row r="690" spans="1:6" x14ac:dyDescent="0.25">
      <c r="A690" s="7">
        <v>42691</v>
      </c>
      <c r="B690" t="str">
        <f t="shared" si="54"/>
        <v>2016/47</v>
      </c>
      <c r="C690" t="str">
        <f t="shared" si="50"/>
        <v>2016/11</v>
      </c>
      <c r="D690">
        <f t="shared" si="51"/>
        <v>2016</v>
      </c>
      <c r="E690" t="str">
        <f t="shared" si="52"/>
        <v/>
      </c>
      <c r="F690" s="2" t="str">
        <f t="shared" si="53"/>
        <v>INSERT INTO Master_Calendar (Date, Week, Month, Year, Holiday, XmlMeta) VALUES(N'2016-11-17', N'2016/47', N'2016/11', N'2016', N'', N'&lt;Root&gt;&lt;/Root&gt;')</v>
      </c>
    </row>
    <row r="691" spans="1:6" x14ac:dyDescent="0.25">
      <c r="A691" s="7">
        <v>42692</v>
      </c>
      <c r="B691" t="str">
        <f t="shared" si="54"/>
        <v>2016/47</v>
      </c>
      <c r="C691" t="str">
        <f t="shared" si="50"/>
        <v>2016/11</v>
      </c>
      <c r="D691">
        <f t="shared" si="51"/>
        <v>2016</v>
      </c>
      <c r="E691" t="str">
        <f t="shared" si="52"/>
        <v/>
      </c>
      <c r="F691" s="2" t="str">
        <f t="shared" si="53"/>
        <v>INSERT INTO Master_Calendar (Date, Week, Month, Year, Holiday, XmlMeta) VALUES(N'2016-11-18', N'2016/47', N'2016/11', N'2016', N'', N'&lt;Root&gt;&lt;/Root&gt;')</v>
      </c>
    </row>
    <row r="692" spans="1:6" x14ac:dyDescent="0.25">
      <c r="A692" s="7">
        <v>42693</v>
      </c>
      <c r="B692" t="str">
        <f t="shared" si="54"/>
        <v>2016/47</v>
      </c>
      <c r="C692" t="str">
        <f t="shared" si="50"/>
        <v>2016/11</v>
      </c>
      <c r="D692">
        <f t="shared" si="51"/>
        <v>2016</v>
      </c>
      <c r="E692" t="str">
        <f t="shared" si="52"/>
        <v>Thứ 7</v>
      </c>
      <c r="F692" s="2" t="str">
        <f t="shared" si="53"/>
        <v>INSERT INTO Master_Calendar (Date, Week, Month, Year, Holiday, XmlMeta) VALUES(N'2016-11-19', N'2016/47', N'2016/11', N'2016', N'Thứ 7', N'&lt;Root&gt;&lt;/Root&gt;')</v>
      </c>
    </row>
    <row r="693" spans="1:6" x14ac:dyDescent="0.25">
      <c r="A693" s="7">
        <v>42694</v>
      </c>
      <c r="B693" t="str">
        <f t="shared" si="54"/>
        <v>2016/47</v>
      </c>
      <c r="C693" t="str">
        <f t="shared" si="50"/>
        <v>2016/11</v>
      </c>
      <c r="D693">
        <f t="shared" si="51"/>
        <v>2016</v>
      </c>
      <c r="E693" t="str">
        <f t="shared" si="52"/>
        <v>Chủ nhật</v>
      </c>
      <c r="F693" s="2" t="str">
        <f t="shared" si="53"/>
        <v>INSERT INTO Master_Calendar (Date, Week, Month, Year, Holiday, XmlMeta) VALUES(N'2016-11-20', N'2016/47', N'2016/11', N'2016', N'Chủ nhật', N'&lt;Root&gt;&lt;/Root&gt;')</v>
      </c>
    </row>
    <row r="694" spans="1:6" x14ac:dyDescent="0.25">
      <c r="A694" s="7">
        <v>42695</v>
      </c>
      <c r="B694" t="str">
        <f t="shared" si="54"/>
        <v>2016/48</v>
      </c>
      <c r="C694" t="str">
        <f t="shared" si="50"/>
        <v>2016/11</v>
      </c>
      <c r="D694">
        <f t="shared" si="51"/>
        <v>2016</v>
      </c>
      <c r="E694" t="str">
        <f t="shared" si="52"/>
        <v/>
      </c>
      <c r="F694" s="2" t="str">
        <f t="shared" si="53"/>
        <v>INSERT INTO Master_Calendar (Date, Week, Month, Year, Holiday, XmlMeta) VALUES(N'2016-11-21', N'2016/48', N'2016/11', N'2016', N'', N'&lt;Root&gt;&lt;/Root&gt;')</v>
      </c>
    </row>
    <row r="695" spans="1:6" x14ac:dyDescent="0.25">
      <c r="A695" s="7">
        <v>42696</v>
      </c>
      <c r="B695" t="str">
        <f t="shared" si="54"/>
        <v>2016/48</v>
      </c>
      <c r="C695" t="str">
        <f t="shared" si="50"/>
        <v>2016/11</v>
      </c>
      <c r="D695">
        <f t="shared" si="51"/>
        <v>2016</v>
      </c>
      <c r="E695" t="str">
        <f t="shared" si="52"/>
        <v/>
      </c>
      <c r="F695" s="2" t="str">
        <f t="shared" si="53"/>
        <v>INSERT INTO Master_Calendar (Date, Week, Month, Year, Holiday, XmlMeta) VALUES(N'2016-11-22', N'2016/48', N'2016/11', N'2016', N'', N'&lt;Root&gt;&lt;/Root&gt;')</v>
      </c>
    </row>
    <row r="696" spans="1:6" x14ac:dyDescent="0.25">
      <c r="A696" s="7">
        <v>42697</v>
      </c>
      <c r="B696" t="str">
        <f t="shared" si="54"/>
        <v>2016/48</v>
      </c>
      <c r="C696" t="str">
        <f t="shared" si="50"/>
        <v>2016/11</v>
      </c>
      <c r="D696">
        <f t="shared" si="51"/>
        <v>2016</v>
      </c>
      <c r="E696" t="str">
        <f t="shared" si="52"/>
        <v/>
      </c>
      <c r="F696" s="2" t="str">
        <f t="shared" si="53"/>
        <v>INSERT INTO Master_Calendar (Date, Week, Month, Year, Holiday, XmlMeta) VALUES(N'2016-11-23', N'2016/48', N'2016/11', N'2016', N'', N'&lt;Root&gt;&lt;/Root&gt;')</v>
      </c>
    </row>
    <row r="697" spans="1:6" x14ac:dyDescent="0.25">
      <c r="A697" s="7">
        <v>42698</v>
      </c>
      <c r="B697" t="str">
        <f t="shared" si="54"/>
        <v>2016/48</v>
      </c>
      <c r="C697" t="str">
        <f t="shared" si="50"/>
        <v>2016/11</v>
      </c>
      <c r="D697">
        <f t="shared" si="51"/>
        <v>2016</v>
      </c>
      <c r="E697" t="str">
        <f t="shared" si="52"/>
        <v/>
      </c>
      <c r="F697" s="2" t="str">
        <f t="shared" si="53"/>
        <v>INSERT INTO Master_Calendar (Date, Week, Month, Year, Holiday, XmlMeta) VALUES(N'2016-11-24', N'2016/48', N'2016/11', N'2016', N'', N'&lt;Root&gt;&lt;/Root&gt;')</v>
      </c>
    </row>
    <row r="698" spans="1:6" x14ac:dyDescent="0.25">
      <c r="A698" s="7">
        <v>42699</v>
      </c>
      <c r="B698" t="str">
        <f t="shared" si="54"/>
        <v>2016/48</v>
      </c>
      <c r="C698" t="str">
        <f t="shared" si="50"/>
        <v>2016/11</v>
      </c>
      <c r="D698">
        <f t="shared" si="51"/>
        <v>2016</v>
      </c>
      <c r="E698" t="str">
        <f t="shared" si="52"/>
        <v/>
      </c>
      <c r="F698" s="2" t="str">
        <f t="shared" si="53"/>
        <v>INSERT INTO Master_Calendar (Date, Week, Month, Year, Holiday, XmlMeta) VALUES(N'2016-11-25', N'2016/48', N'2016/11', N'2016', N'', N'&lt;Root&gt;&lt;/Root&gt;')</v>
      </c>
    </row>
    <row r="699" spans="1:6" x14ac:dyDescent="0.25">
      <c r="A699" s="7">
        <v>42700</v>
      </c>
      <c r="B699" t="str">
        <f t="shared" si="54"/>
        <v>2016/48</v>
      </c>
      <c r="C699" t="str">
        <f t="shared" si="50"/>
        <v>2016/11</v>
      </c>
      <c r="D699">
        <f t="shared" si="51"/>
        <v>2016</v>
      </c>
      <c r="E699" t="str">
        <f t="shared" si="52"/>
        <v>Thứ 7</v>
      </c>
      <c r="F699" s="2" t="str">
        <f t="shared" si="53"/>
        <v>INSERT INTO Master_Calendar (Date, Week, Month, Year, Holiday, XmlMeta) VALUES(N'2016-11-26', N'2016/48', N'2016/11', N'2016', N'Thứ 7', N'&lt;Root&gt;&lt;/Root&gt;')</v>
      </c>
    </row>
    <row r="700" spans="1:6" x14ac:dyDescent="0.25">
      <c r="A700" s="7">
        <v>42701</v>
      </c>
      <c r="B700" t="str">
        <f t="shared" si="54"/>
        <v>2016/48</v>
      </c>
      <c r="C700" t="str">
        <f t="shared" si="50"/>
        <v>2016/11</v>
      </c>
      <c r="D700">
        <f t="shared" si="51"/>
        <v>2016</v>
      </c>
      <c r="E700" t="str">
        <f t="shared" si="52"/>
        <v>Chủ nhật</v>
      </c>
      <c r="F700" s="2" t="str">
        <f t="shared" si="53"/>
        <v>INSERT INTO Master_Calendar (Date, Week, Month, Year, Holiday, XmlMeta) VALUES(N'2016-11-27', N'2016/48', N'2016/11', N'2016', N'Chủ nhật', N'&lt;Root&gt;&lt;/Root&gt;')</v>
      </c>
    </row>
    <row r="701" spans="1:6" x14ac:dyDescent="0.25">
      <c r="A701" s="7">
        <v>42702</v>
      </c>
      <c r="B701" t="str">
        <f t="shared" si="54"/>
        <v>2016/49</v>
      </c>
      <c r="C701" t="str">
        <f t="shared" si="50"/>
        <v>2016/11</v>
      </c>
      <c r="D701">
        <f t="shared" si="51"/>
        <v>2016</v>
      </c>
      <c r="E701" t="str">
        <f t="shared" si="52"/>
        <v/>
      </c>
      <c r="F701" s="2" t="str">
        <f t="shared" si="53"/>
        <v>INSERT INTO Master_Calendar (Date, Week, Month, Year, Holiday, XmlMeta) VALUES(N'2016-11-28', N'2016/49', N'2016/11', N'2016', N'', N'&lt;Root&gt;&lt;/Root&gt;')</v>
      </c>
    </row>
    <row r="702" spans="1:6" x14ac:dyDescent="0.25">
      <c r="A702" s="7">
        <v>42703</v>
      </c>
      <c r="B702" t="str">
        <f t="shared" si="54"/>
        <v>2016/49</v>
      </c>
      <c r="C702" t="str">
        <f t="shared" si="50"/>
        <v>2016/11</v>
      </c>
      <c r="D702">
        <f t="shared" si="51"/>
        <v>2016</v>
      </c>
      <c r="E702" t="str">
        <f t="shared" si="52"/>
        <v/>
      </c>
      <c r="F702" s="2" t="str">
        <f t="shared" si="53"/>
        <v>INSERT INTO Master_Calendar (Date, Week, Month, Year, Holiday, XmlMeta) VALUES(N'2016-11-29', N'2016/49', N'2016/11', N'2016', N'', N'&lt;Root&gt;&lt;/Root&gt;')</v>
      </c>
    </row>
    <row r="703" spans="1:6" x14ac:dyDescent="0.25">
      <c r="A703" s="7">
        <v>42704</v>
      </c>
      <c r="B703" t="str">
        <f t="shared" si="54"/>
        <v>2016/49</v>
      </c>
      <c r="C703" t="str">
        <f t="shared" si="50"/>
        <v>2016/11</v>
      </c>
      <c r="D703">
        <f t="shared" si="51"/>
        <v>2016</v>
      </c>
      <c r="E703" t="str">
        <f t="shared" si="52"/>
        <v/>
      </c>
      <c r="F703" s="2" t="str">
        <f t="shared" si="53"/>
        <v>INSERT INTO Master_Calendar (Date, Week, Month, Year, Holiday, XmlMeta) VALUES(N'2016-11-30', N'2016/49', N'2016/11', N'2016', N'', N'&lt;Root&gt;&lt;/Root&gt;')</v>
      </c>
    </row>
    <row r="704" spans="1:6" x14ac:dyDescent="0.25">
      <c r="A704" s="7">
        <v>42705</v>
      </c>
      <c r="B704" t="str">
        <f t="shared" si="54"/>
        <v>2016/49</v>
      </c>
      <c r="C704" t="str">
        <f t="shared" si="50"/>
        <v>2016/12</v>
      </c>
      <c r="D704">
        <f t="shared" si="51"/>
        <v>2016</v>
      </c>
      <c r="E704" t="str">
        <f t="shared" si="52"/>
        <v/>
      </c>
      <c r="F704" s="2" t="str">
        <f t="shared" si="53"/>
        <v>INSERT INTO Master_Calendar (Date, Week, Month, Year, Holiday, XmlMeta) VALUES(N'2016-12-01', N'2016/49', N'2016/12', N'2016', N'', N'&lt;Root&gt;&lt;/Root&gt;')</v>
      </c>
    </row>
    <row r="705" spans="1:6" x14ac:dyDescent="0.25">
      <c r="A705" s="7">
        <v>42706</v>
      </c>
      <c r="B705" t="str">
        <f t="shared" si="54"/>
        <v>2016/49</v>
      </c>
      <c r="C705" t="str">
        <f t="shared" si="50"/>
        <v>2016/12</v>
      </c>
      <c r="D705">
        <f t="shared" si="51"/>
        <v>2016</v>
      </c>
      <c r="E705" t="str">
        <f t="shared" si="52"/>
        <v/>
      </c>
      <c r="F705" s="2" t="str">
        <f t="shared" si="53"/>
        <v>INSERT INTO Master_Calendar (Date, Week, Month, Year, Holiday, XmlMeta) VALUES(N'2016-12-02', N'2016/49', N'2016/12', N'2016', N'', N'&lt;Root&gt;&lt;/Root&gt;')</v>
      </c>
    </row>
    <row r="706" spans="1:6" x14ac:dyDescent="0.25">
      <c r="A706" s="7">
        <v>42707</v>
      </c>
      <c r="B706" t="str">
        <f t="shared" si="54"/>
        <v>2016/49</v>
      </c>
      <c r="C706" t="str">
        <f t="shared" si="50"/>
        <v>2016/12</v>
      </c>
      <c r="D706">
        <f t="shared" si="51"/>
        <v>2016</v>
      </c>
      <c r="E706" t="str">
        <f t="shared" si="52"/>
        <v>Thứ 7</v>
      </c>
      <c r="F706" s="2" t="str">
        <f t="shared" si="53"/>
        <v>INSERT INTO Master_Calendar (Date, Week, Month, Year, Holiday, XmlMeta) VALUES(N'2016-12-03', N'2016/49', N'2016/12', N'2016', N'Thứ 7', N'&lt;Root&gt;&lt;/Root&gt;')</v>
      </c>
    </row>
    <row r="707" spans="1:6" x14ac:dyDescent="0.25">
      <c r="A707" s="7">
        <v>42708</v>
      </c>
      <c r="B707" t="str">
        <f t="shared" si="54"/>
        <v>2016/49</v>
      </c>
      <c r="C707" t="str">
        <f t="shared" si="50"/>
        <v>2016/12</v>
      </c>
      <c r="D707">
        <f t="shared" si="51"/>
        <v>2016</v>
      </c>
      <c r="E707" t="str">
        <f t="shared" si="52"/>
        <v>Chủ nhật</v>
      </c>
      <c r="F707" s="2" t="str">
        <f t="shared" si="53"/>
        <v>INSERT INTO Master_Calendar (Date, Week, Month, Year, Holiday, XmlMeta) VALUES(N'2016-12-04', N'2016/49', N'2016/12', N'2016', N'Chủ nhật', N'&lt;Root&gt;&lt;/Root&gt;')</v>
      </c>
    </row>
    <row r="708" spans="1:6" x14ac:dyDescent="0.25">
      <c r="A708" s="7">
        <v>42709</v>
      </c>
      <c r="B708" t="str">
        <f t="shared" si="54"/>
        <v>2016/50</v>
      </c>
      <c r="C708" t="str">
        <f t="shared" si="50"/>
        <v>2016/12</v>
      </c>
      <c r="D708">
        <f t="shared" si="51"/>
        <v>2016</v>
      </c>
      <c r="E708" t="str">
        <f t="shared" si="52"/>
        <v/>
      </c>
      <c r="F708" s="2" t="str">
        <f t="shared" si="53"/>
        <v>INSERT INTO Master_Calendar (Date, Week, Month, Year, Holiday, XmlMeta) VALUES(N'2016-12-05', N'2016/50', N'2016/12', N'2016', N'', N'&lt;Root&gt;&lt;/Root&gt;')</v>
      </c>
    </row>
    <row r="709" spans="1:6" x14ac:dyDescent="0.25">
      <c r="A709" s="7">
        <v>42710</v>
      </c>
      <c r="B709" t="str">
        <f t="shared" si="54"/>
        <v>2016/50</v>
      </c>
      <c r="C709" t="str">
        <f t="shared" ref="C709:C734" si="55">YEAR(A709)&amp;"/"&amp;RIGHT("00"&amp;MONTH(A709),2)</f>
        <v>2016/12</v>
      </c>
      <c r="D709">
        <f t="shared" ref="D709:D734" si="56">YEAR(A709)</f>
        <v>2016</v>
      </c>
      <c r="E709" t="str">
        <f t="shared" ref="E709:E734" si="57">IF(WEEKDAY(A709)=1, "Chủ nhật", IF(WEEKDAY(A709)=7, "Thứ 7", ""))</f>
        <v/>
      </c>
      <c r="F709" s="2" t="str">
        <f t="shared" ref="F709:F734" si="58">"INSERT INTO "&amp;$B$1&amp;" ("&amp;$A$3&amp;", "&amp;$B$3&amp;", "&amp;$C$3&amp;", "&amp;$D$3&amp;", "&amp;$E$3&amp;", XmlMeta) VALUES(N'"&amp;TEXT(A709, "yyyy-MM-dd")&amp;"', N'"&amp;B709&amp;"', N'"&amp;C709&amp;"', N'"&amp;D709&amp;"', N'"&amp;E709&amp;"', N'&lt;Root&gt;&lt;/Root&gt;')"</f>
        <v>INSERT INTO Master_Calendar (Date, Week, Month, Year, Holiday, XmlMeta) VALUES(N'2016-12-06', N'2016/50', N'2016/12', N'2016', N'', N'&lt;Root&gt;&lt;/Root&gt;')</v>
      </c>
    </row>
    <row r="710" spans="1:6" x14ac:dyDescent="0.25">
      <c r="A710" s="7">
        <v>42711</v>
      </c>
      <c r="B710" t="str">
        <f t="shared" ref="B710:B734" si="59">YEAR(A710) &amp; "/" &amp; RIGHT("00" &amp; IF(WEEKNUM(A710, 2) &gt; 52, 52, WEEKNUM(A710, 2)), 2)</f>
        <v>2016/50</v>
      </c>
      <c r="C710" t="str">
        <f t="shared" si="55"/>
        <v>2016/12</v>
      </c>
      <c r="D710">
        <f t="shared" si="56"/>
        <v>2016</v>
      </c>
      <c r="E710" t="str">
        <f t="shared" si="57"/>
        <v/>
      </c>
      <c r="F710" s="2" t="str">
        <f t="shared" si="58"/>
        <v>INSERT INTO Master_Calendar (Date, Week, Month, Year, Holiday, XmlMeta) VALUES(N'2016-12-07', N'2016/50', N'2016/12', N'2016', N'', N'&lt;Root&gt;&lt;/Root&gt;')</v>
      </c>
    </row>
    <row r="711" spans="1:6" x14ac:dyDescent="0.25">
      <c r="A711" s="7">
        <v>42712</v>
      </c>
      <c r="B711" t="str">
        <f t="shared" si="59"/>
        <v>2016/50</v>
      </c>
      <c r="C711" t="str">
        <f t="shared" si="55"/>
        <v>2016/12</v>
      </c>
      <c r="D711">
        <f t="shared" si="56"/>
        <v>2016</v>
      </c>
      <c r="E711" t="str">
        <f t="shared" si="57"/>
        <v/>
      </c>
      <c r="F711" s="2" t="str">
        <f t="shared" si="58"/>
        <v>INSERT INTO Master_Calendar (Date, Week, Month, Year, Holiday, XmlMeta) VALUES(N'2016-12-08', N'2016/50', N'2016/12', N'2016', N'', N'&lt;Root&gt;&lt;/Root&gt;')</v>
      </c>
    </row>
    <row r="712" spans="1:6" x14ac:dyDescent="0.25">
      <c r="A712" s="7">
        <v>42713</v>
      </c>
      <c r="B712" t="str">
        <f t="shared" si="59"/>
        <v>2016/50</v>
      </c>
      <c r="C712" t="str">
        <f t="shared" si="55"/>
        <v>2016/12</v>
      </c>
      <c r="D712">
        <f t="shared" si="56"/>
        <v>2016</v>
      </c>
      <c r="E712" t="str">
        <f t="shared" si="57"/>
        <v/>
      </c>
      <c r="F712" s="2" t="str">
        <f t="shared" si="58"/>
        <v>INSERT INTO Master_Calendar (Date, Week, Month, Year, Holiday, XmlMeta) VALUES(N'2016-12-09', N'2016/50', N'2016/12', N'2016', N'', N'&lt;Root&gt;&lt;/Root&gt;')</v>
      </c>
    </row>
    <row r="713" spans="1:6" x14ac:dyDescent="0.25">
      <c r="A713" s="7">
        <v>42714</v>
      </c>
      <c r="B713" t="str">
        <f t="shared" si="59"/>
        <v>2016/50</v>
      </c>
      <c r="C713" t="str">
        <f t="shared" si="55"/>
        <v>2016/12</v>
      </c>
      <c r="D713">
        <f t="shared" si="56"/>
        <v>2016</v>
      </c>
      <c r="E713" t="str">
        <f t="shared" si="57"/>
        <v>Thứ 7</v>
      </c>
      <c r="F713" s="2" t="str">
        <f t="shared" si="58"/>
        <v>INSERT INTO Master_Calendar (Date, Week, Month, Year, Holiday, XmlMeta) VALUES(N'2016-12-10', N'2016/50', N'2016/12', N'2016', N'Thứ 7', N'&lt;Root&gt;&lt;/Root&gt;')</v>
      </c>
    </row>
    <row r="714" spans="1:6" x14ac:dyDescent="0.25">
      <c r="A714" s="7">
        <v>42715</v>
      </c>
      <c r="B714" t="str">
        <f t="shared" si="59"/>
        <v>2016/50</v>
      </c>
      <c r="C714" t="str">
        <f t="shared" si="55"/>
        <v>2016/12</v>
      </c>
      <c r="D714">
        <f t="shared" si="56"/>
        <v>2016</v>
      </c>
      <c r="E714" t="str">
        <f t="shared" si="57"/>
        <v>Chủ nhật</v>
      </c>
      <c r="F714" s="2" t="str">
        <f t="shared" si="58"/>
        <v>INSERT INTO Master_Calendar (Date, Week, Month, Year, Holiday, XmlMeta) VALUES(N'2016-12-11', N'2016/50', N'2016/12', N'2016', N'Chủ nhật', N'&lt;Root&gt;&lt;/Root&gt;')</v>
      </c>
    </row>
    <row r="715" spans="1:6" x14ac:dyDescent="0.25">
      <c r="A715" s="7">
        <v>42716</v>
      </c>
      <c r="B715" t="str">
        <f t="shared" si="59"/>
        <v>2016/51</v>
      </c>
      <c r="C715" t="str">
        <f t="shared" si="55"/>
        <v>2016/12</v>
      </c>
      <c r="D715">
        <f t="shared" si="56"/>
        <v>2016</v>
      </c>
      <c r="E715" t="str">
        <f t="shared" si="57"/>
        <v/>
      </c>
      <c r="F715" s="2" t="str">
        <f t="shared" si="58"/>
        <v>INSERT INTO Master_Calendar (Date, Week, Month, Year, Holiday, XmlMeta) VALUES(N'2016-12-12', N'2016/51', N'2016/12', N'2016', N'', N'&lt;Root&gt;&lt;/Root&gt;')</v>
      </c>
    </row>
    <row r="716" spans="1:6" x14ac:dyDescent="0.25">
      <c r="A716" s="7">
        <v>42717</v>
      </c>
      <c r="B716" t="str">
        <f t="shared" si="59"/>
        <v>2016/51</v>
      </c>
      <c r="C716" t="str">
        <f t="shared" si="55"/>
        <v>2016/12</v>
      </c>
      <c r="D716">
        <f t="shared" si="56"/>
        <v>2016</v>
      </c>
      <c r="E716" t="str">
        <f t="shared" si="57"/>
        <v/>
      </c>
      <c r="F716" s="2" t="str">
        <f t="shared" si="58"/>
        <v>INSERT INTO Master_Calendar (Date, Week, Month, Year, Holiday, XmlMeta) VALUES(N'2016-12-13', N'2016/51', N'2016/12', N'2016', N'', N'&lt;Root&gt;&lt;/Root&gt;')</v>
      </c>
    </row>
    <row r="717" spans="1:6" x14ac:dyDescent="0.25">
      <c r="A717" s="7">
        <v>42718</v>
      </c>
      <c r="B717" t="str">
        <f t="shared" si="59"/>
        <v>2016/51</v>
      </c>
      <c r="C717" t="str">
        <f t="shared" si="55"/>
        <v>2016/12</v>
      </c>
      <c r="D717">
        <f t="shared" si="56"/>
        <v>2016</v>
      </c>
      <c r="E717" t="str">
        <f t="shared" si="57"/>
        <v/>
      </c>
      <c r="F717" s="2" t="str">
        <f t="shared" si="58"/>
        <v>INSERT INTO Master_Calendar (Date, Week, Month, Year, Holiday, XmlMeta) VALUES(N'2016-12-14', N'2016/51', N'2016/12', N'2016', N'', N'&lt;Root&gt;&lt;/Root&gt;')</v>
      </c>
    </row>
    <row r="718" spans="1:6" x14ac:dyDescent="0.25">
      <c r="A718" s="7">
        <v>42719</v>
      </c>
      <c r="B718" t="str">
        <f t="shared" si="59"/>
        <v>2016/51</v>
      </c>
      <c r="C718" t="str">
        <f t="shared" si="55"/>
        <v>2016/12</v>
      </c>
      <c r="D718">
        <f t="shared" si="56"/>
        <v>2016</v>
      </c>
      <c r="E718" t="str">
        <f t="shared" si="57"/>
        <v/>
      </c>
      <c r="F718" s="2" t="str">
        <f t="shared" si="58"/>
        <v>INSERT INTO Master_Calendar (Date, Week, Month, Year, Holiday, XmlMeta) VALUES(N'2016-12-15', N'2016/51', N'2016/12', N'2016', N'', N'&lt;Root&gt;&lt;/Root&gt;')</v>
      </c>
    </row>
    <row r="719" spans="1:6" x14ac:dyDescent="0.25">
      <c r="A719" s="7">
        <v>42720</v>
      </c>
      <c r="B719" t="str">
        <f t="shared" si="59"/>
        <v>2016/51</v>
      </c>
      <c r="C719" t="str">
        <f t="shared" si="55"/>
        <v>2016/12</v>
      </c>
      <c r="D719">
        <f t="shared" si="56"/>
        <v>2016</v>
      </c>
      <c r="E719" t="str">
        <f t="shared" si="57"/>
        <v/>
      </c>
      <c r="F719" s="2" t="str">
        <f t="shared" si="58"/>
        <v>INSERT INTO Master_Calendar (Date, Week, Month, Year, Holiday, XmlMeta) VALUES(N'2016-12-16', N'2016/51', N'2016/12', N'2016', N'', N'&lt;Root&gt;&lt;/Root&gt;')</v>
      </c>
    </row>
    <row r="720" spans="1:6" x14ac:dyDescent="0.25">
      <c r="A720" s="7">
        <v>42721</v>
      </c>
      <c r="B720" t="str">
        <f t="shared" si="59"/>
        <v>2016/51</v>
      </c>
      <c r="C720" t="str">
        <f t="shared" si="55"/>
        <v>2016/12</v>
      </c>
      <c r="D720">
        <f t="shared" si="56"/>
        <v>2016</v>
      </c>
      <c r="E720" t="str">
        <f t="shared" si="57"/>
        <v>Thứ 7</v>
      </c>
      <c r="F720" s="2" t="str">
        <f t="shared" si="58"/>
        <v>INSERT INTO Master_Calendar (Date, Week, Month, Year, Holiday, XmlMeta) VALUES(N'2016-12-17', N'2016/51', N'2016/12', N'2016', N'Thứ 7', N'&lt;Root&gt;&lt;/Root&gt;')</v>
      </c>
    </row>
    <row r="721" spans="1:6" x14ac:dyDescent="0.25">
      <c r="A721" s="7">
        <v>42722</v>
      </c>
      <c r="B721" t="str">
        <f t="shared" si="59"/>
        <v>2016/51</v>
      </c>
      <c r="C721" t="str">
        <f t="shared" si="55"/>
        <v>2016/12</v>
      </c>
      <c r="D721">
        <f t="shared" si="56"/>
        <v>2016</v>
      </c>
      <c r="E721" t="str">
        <f t="shared" si="57"/>
        <v>Chủ nhật</v>
      </c>
      <c r="F721" s="2" t="str">
        <f t="shared" si="58"/>
        <v>INSERT INTO Master_Calendar (Date, Week, Month, Year, Holiday, XmlMeta) VALUES(N'2016-12-18', N'2016/51', N'2016/12', N'2016', N'Chủ nhật', N'&lt;Root&gt;&lt;/Root&gt;')</v>
      </c>
    </row>
    <row r="722" spans="1:6" x14ac:dyDescent="0.25">
      <c r="A722" s="7">
        <v>42723</v>
      </c>
      <c r="B722" t="str">
        <f t="shared" si="59"/>
        <v>2016/52</v>
      </c>
      <c r="C722" t="str">
        <f t="shared" si="55"/>
        <v>2016/12</v>
      </c>
      <c r="D722">
        <f t="shared" si="56"/>
        <v>2016</v>
      </c>
      <c r="E722" t="str">
        <f t="shared" si="57"/>
        <v/>
      </c>
      <c r="F722" s="2" t="str">
        <f t="shared" si="58"/>
        <v>INSERT INTO Master_Calendar (Date, Week, Month, Year, Holiday, XmlMeta) VALUES(N'2016-12-19', N'2016/52', N'2016/12', N'2016', N'', N'&lt;Root&gt;&lt;/Root&gt;')</v>
      </c>
    </row>
    <row r="723" spans="1:6" x14ac:dyDescent="0.25">
      <c r="A723" s="7">
        <v>42724</v>
      </c>
      <c r="B723" t="str">
        <f t="shared" si="59"/>
        <v>2016/52</v>
      </c>
      <c r="C723" t="str">
        <f t="shared" si="55"/>
        <v>2016/12</v>
      </c>
      <c r="D723">
        <f t="shared" si="56"/>
        <v>2016</v>
      </c>
      <c r="E723" t="str">
        <f t="shared" si="57"/>
        <v/>
      </c>
      <c r="F723" s="2" t="str">
        <f t="shared" si="58"/>
        <v>INSERT INTO Master_Calendar (Date, Week, Month, Year, Holiday, XmlMeta) VALUES(N'2016-12-20', N'2016/52', N'2016/12', N'2016', N'', N'&lt;Root&gt;&lt;/Root&gt;')</v>
      </c>
    </row>
    <row r="724" spans="1:6" x14ac:dyDescent="0.25">
      <c r="A724" s="7">
        <v>42725</v>
      </c>
      <c r="B724" t="str">
        <f t="shared" si="59"/>
        <v>2016/52</v>
      </c>
      <c r="C724" t="str">
        <f t="shared" si="55"/>
        <v>2016/12</v>
      </c>
      <c r="D724">
        <f t="shared" si="56"/>
        <v>2016</v>
      </c>
      <c r="E724" t="str">
        <f t="shared" si="57"/>
        <v/>
      </c>
      <c r="F724" s="2" t="str">
        <f t="shared" si="58"/>
        <v>INSERT INTO Master_Calendar (Date, Week, Month, Year, Holiday, XmlMeta) VALUES(N'2016-12-21', N'2016/52', N'2016/12', N'2016', N'', N'&lt;Root&gt;&lt;/Root&gt;')</v>
      </c>
    </row>
    <row r="725" spans="1:6" x14ac:dyDescent="0.25">
      <c r="A725" s="7">
        <v>42726</v>
      </c>
      <c r="B725" t="str">
        <f t="shared" si="59"/>
        <v>2016/52</v>
      </c>
      <c r="C725" t="str">
        <f t="shared" si="55"/>
        <v>2016/12</v>
      </c>
      <c r="D725">
        <f t="shared" si="56"/>
        <v>2016</v>
      </c>
      <c r="E725" t="str">
        <f t="shared" si="57"/>
        <v/>
      </c>
      <c r="F725" s="2" t="str">
        <f t="shared" si="58"/>
        <v>INSERT INTO Master_Calendar (Date, Week, Month, Year, Holiday, XmlMeta) VALUES(N'2016-12-22', N'2016/52', N'2016/12', N'2016', N'', N'&lt;Root&gt;&lt;/Root&gt;')</v>
      </c>
    </row>
    <row r="726" spans="1:6" x14ac:dyDescent="0.25">
      <c r="A726" s="7">
        <v>42727</v>
      </c>
      <c r="B726" t="str">
        <f t="shared" si="59"/>
        <v>2016/52</v>
      </c>
      <c r="C726" t="str">
        <f t="shared" si="55"/>
        <v>2016/12</v>
      </c>
      <c r="D726">
        <f t="shared" si="56"/>
        <v>2016</v>
      </c>
      <c r="E726" t="str">
        <f t="shared" si="57"/>
        <v/>
      </c>
      <c r="F726" s="2" t="str">
        <f t="shared" si="58"/>
        <v>INSERT INTO Master_Calendar (Date, Week, Month, Year, Holiday, XmlMeta) VALUES(N'2016-12-23', N'2016/52', N'2016/12', N'2016', N'', N'&lt;Root&gt;&lt;/Root&gt;')</v>
      </c>
    </row>
    <row r="727" spans="1:6" x14ac:dyDescent="0.25">
      <c r="A727" s="7">
        <v>42728</v>
      </c>
      <c r="B727" t="str">
        <f t="shared" si="59"/>
        <v>2016/52</v>
      </c>
      <c r="C727" t="str">
        <f t="shared" si="55"/>
        <v>2016/12</v>
      </c>
      <c r="D727">
        <f t="shared" si="56"/>
        <v>2016</v>
      </c>
      <c r="E727" t="str">
        <f t="shared" si="57"/>
        <v>Thứ 7</v>
      </c>
      <c r="F727" s="2" t="str">
        <f t="shared" si="58"/>
        <v>INSERT INTO Master_Calendar (Date, Week, Month, Year, Holiday, XmlMeta) VALUES(N'2016-12-24', N'2016/52', N'2016/12', N'2016', N'Thứ 7', N'&lt;Root&gt;&lt;/Root&gt;')</v>
      </c>
    </row>
    <row r="728" spans="1:6" x14ac:dyDescent="0.25">
      <c r="A728" s="7">
        <v>42729</v>
      </c>
      <c r="B728" t="str">
        <f t="shared" si="59"/>
        <v>2016/52</v>
      </c>
      <c r="C728" t="str">
        <f t="shared" si="55"/>
        <v>2016/12</v>
      </c>
      <c r="D728">
        <f t="shared" si="56"/>
        <v>2016</v>
      </c>
      <c r="E728" t="str">
        <f t="shared" si="57"/>
        <v>Chủ nhật</v>
      </c>
      <c r="F728" s="2" t="str">
        <f t="shared" si="58"/>
        <v>INSERT INTO Master_Calendar (Date, Week, Month, Year, Holiday, XmlMeta) VALUES(N'2016-12-25', N'2016/52', N'2016/12', N'2016', N'Chủ nhật', N'&lt;Root&gt;&lt;/Root&gt;')</v>
      </c>
    </row>
    <row r="729" spans="1:6" x14ac:dyDescent="0.25">
      <c r="A729" s="7">
        <v>42730</v>
      </c>
      <c r="B729" t="str">
        <f t="shared" si="59"/>
        <v>2016/52</v>
      </c>
      <c r="C729" t="str">
        <f t="shared" si="55"/>
        <v>2016/12</v>
      </c>
      <c r="D729">
        <f t="shared" si="56"/>
        <v>2016</v>
      </c>
      <c r="E729" t="str">
        <f t="shared" si="57"/>
        <v/>
      </c>
      <c r="F729" s="2" t="str">
        <f t="shared" si="58"/>
        <v>INSERT INTO Master_Calendar (Date, Week, Month, Year, Holiday, XmlMeta) VALUES(N'2016-12-26', N'2016/52', N'2016/12', N'2016', N'', N'&lt;Root&gt;&lt;/Root&gt;')</v>
      </c>
    </row>
    <row r="730" spans="1:6" x14ac:dyDescent="0.25">
      <c r="A730" s="7">
        <v>42731</v>
      </c>
      <c r="B730" t="str">
        <f t="shared" si="59"/>
        <v>2016/52</v>
      </c>
      <c r="C730" t="str">
        <f t="shared" si="55"/>
        <v>2016/12</v>
      </c>
      <c r="D730">
        <f t="shared" si="56"/>
        <v>2016</v>
      </c>
      <c r="E730" t="str">
        <f t="shared" si="57"/>
        <v/>
      </c>
      <c r="F730" s="2" t="str">
        <f t="shared" si="58"/>
        <v>INSERT INTO Master_Calendar (Date, Week, Month, Year, Holiday, XmlMeta) VALUES(N'2016-12-27', N'2016/52', N'2016/12', N'2016', N'', N'&lt;Root&gt;&lt;/Root&gt;')</v>
      </c>
    </row>
    <row r="731" spans="1:6" x14ac:dyDescent="0.25">
      <c r="A731" s="7">
        <v>42732</v>
      </c>
      <c r="B731" t="str">
        <f t="shared" si="59"/>
        <v>2016/52</v>
      </c>
      <c r="C731" t="str">
        <f t="shared" si="55"/>
        <v>2016/12</v>
      </c>
      <c r="D731">
        <f t="shared" si="56"/>
        <v>2016</v>
      </c>
      <c r="E731" t="str">
        <f t="shared" si="57"/>
        <v/>
      </c>
      <c r="F731" s="2" t="str">
        <f t="shared" si="58"/>
        <v>INSERT INTO Master_Calendar (Date, Week, Month, Year, Holiday, XmlMeta) VALUES(N'2016-12-28', N'2016/52', N'2016/12', N'2016', N'', N'&lt;Root&gt;&lt;/Root&gt;')</v>
      </c>
    </row>
    <row r="732" spans="1:6" x14ac:dyDescent="0.25">
      <c r="A732" s="7">
        <v>42733</v>
      </c>
      <c r="B732" t="str">
        <f t="shared" si="59"/>
        <v>2016/52</v>
      </c>
      <c r="C732" t="str">
        <f t="shared" si="55"/>
        <v>2016/12</v>
      </c>
      <c r="D732">
        <f t="shared" si="56"/>
        <v>2016</v>
      </c>
      <c r="E732" t="str">
        <f t="shared" si="57"/>
        <v/>
      </c>
      <c r="F732" s="2" t="str">
        <f t="shared" si="58"/>
        <v>INSERT INTO Master_Calendar (Date, Week, Month, Year, Holiday, XmlMeta) VALUES(N'2016-12-29', N'2016/52', N'2016/12', N'2016', N'', N'&lt;Root&gt;&lt;/Root&gt;')</v>
      </c>
    </row>
    <row r="733" spans="1:6" x14ac:dyDescent="0.25">
      <c r="A733" s="7">
        <v>42734</v>
      </c>
      <c r="B733" t="str">
        <f t="shared" si="59"/>
        <v>2016/52</v>
      </c>
      <c r="C733" t="str">
        <f t="shared" si="55"/>
        <v>2016/12</v>
      </c>
      <c r="D733">
        <f t="shared" si="56"/>
        <v>2016</v>
      </c>
      <c r="E733" t="str">
        <f t="shared" si="57"/>
        <v/>
      </c>
      <c r="F733" s="2" t="str">
        <f t="shared" si="58"/>
        <v>INSERT INTO Master_Calendar (Date, Week, Month, Year, Holiday, XmlMeta) VALUES(N'2016-12-30', N'2016/52', N'2016/12', N'2016', N'', N'&lt;Root&gt;&lt;/Root&gt;')</v>
      </c>
    </row>
    <row r="734" spans="1:6" x14ac:dyDescent="0.25">
      <c r="A734" s="7">
        <v>42735</v>
      </c>
      <c r="B734" t="str">
        <f t="shared" si="59"/>
        <v>2016/52</v>
      </c>
      <c r="C734" t="str">
        <f t="shared" si="55"/>
        <v>2016/12</v>
      </c>
      <c r="D734">
        <f t="shared" si="56"/>
        <v>2016</v>
      </c>
      <c r="E734" t="str">
        <f t="shared" si="57"/>
        <v>Thứ 7</v>
      </c>
      <c r="F734" s="2" t="str">
        <f t="shared" si="58"/>
        <v>INSERT INTO Master_Calendar (Date, Week, Month, Year, Holiday, XmlMeta) VALUES(N'2016-12-31', N'2016/52', N'2016/12', N'2016', N'Thứ 7',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3"/>
  <sheetViews>
    <sheetView showGridLines="0" workbookViewId="0">
      <selection activeCell="A5" sqref="A5:I11"/>
    </sheetView>
  </sheetViews>
  <sheetFormatPr defaultRowHeight="13.2" x14ac:dyDescent="0.25"/>
  <cols>
    <col min="1" max="1" width="11.109375" bestFit="1" customWidth="1"/>
    <col min="2" max="2" width="19" bestFit="1" customWidth="1"/>
    <col min="3" max="11" width="10.6640625" customWidth="1"/>
    <col min="12" max="12" width="100.6640625" style="2" customWidth="1"/>
  </cols>
  <sheetData>
    <row r="1" spans="1:12" x14ac:dyDescent="0.25">
      <c r="A1" s="1" t="s">
        <v>4</v>
      </c>
      <c r="B1" s="3" t="s">
        <v>50</v>
      </c>
      <c r="C1" s="11" t="s">
        <v>49</v>
      </c>
      <c r="D1" s="3"/>
      <c r="E1" s="3"/>
      <c r="F1" s="3"/>
      <c r="G1" s="3"/>
      <c r="H1" s="3"/>
      <c r="I1" s="3"/>
      <c r="J1" s="3"/>
      <c r="K1" s="3"/>
      <c r="L1"/>
    </row>
    <row r="2" spans="1:12" x14ac:dyDescent="0.25">
      <c r="L2"/>
    </row>
    <row r="3" spans="1:12" x14ac:dyDescent="0.25">
      <c r="A3" s="4" t="s">
        <v>41</v>
      </c>
      <c r="B3" s="4" t="s">
        <v>51</v>
      </c>
      <c r="C3" s="4" t="s">
        <v>52</v>
      </c>
      <c r="D3" s="4" t="s">
        <v>42</v>
      </c>
      <c r="E3" s="4" t="s">
        <v>43</v>
      </c>
      <c r="F3" s="4" t="s">
        <v>44</v>
      </c>
      <c r="G3" s="4" t="s">
        <v>45</v>
      </c>
      <c r="H3" s="4" t="s">
        <v>19</v>
      </c>
      <c r="I3" s="4" t="s">
        <v>46</v>
      </c>
      <c r="J3" s="4" t="s">
        <v>15</v>
      </c>
      <c r="K3" s="4" t="s">
        <v>14</v>
      </c>
      <c r="L3" s="2" t="str">
        <f>"DELETE "&amp;$B$1</f>
        <v>DELETE Master_Distributor_Warehouse</v>
      </c>
    </row>
    <row r="4" spans="1:12" x14ac:dyDescent="0.25">
      <c r="A4" t="s">
        <v>56</v>
      </c>
      <c r="B4" t="s">
        <v>81</v>
      </c>
      <c r="C4" t="s">
        <v>53</v>
      </c>
      <c r="D4" t="s">
        <v>55</v>
      </c>
      <c r="E4" t="s">
        <v>76</v>
      </c>
      <c r="L4" s="2" t="str">
        <f>"INSERT INTO "&amp;$B$1&amp;" ("&amp;$A$3&amp;", "&amp;$B$3&amp;", "&amp;$C$3&amp;", "&amp;$D$3&amp;", "&amp;$E$3&amp;", "&amp;$F$3&amp;", "&amp;$G$3&amp;", "&amp;$H$3&amp;", "&amp;$I$3&amp;", "&amp;$J$3&amp;", "&amp;$K$3&amp;", XmlMeta) VALUES(N'"&amp;A4&amp;"', N'"&amp;B4&amp;"', N'"&amp;C4&amp;"', N'"&amp;D4&amp;"', N'"&amp;E4&amp;"', N'"&amp;F4&amp;"', N'"&amp;G4&amp;"', N'"&amp;H4&amp;"', N'"&amp;I4&amp;"', N'"&amp;J4&amp;"', N'"&amp;K4&amp;"', N'&lt;Root&gt;&lt;/Root&gt;')"</f>
        <v>INSERT INTO Master_Distributor_Warehouse (DistributorID, WarehouseID, WarehouseName, ProvinceID, DistrictID, WardID, Street, Phone, ContactName, IsActive, Note, XmlMeta) VALUES(N'DT_0001', N'WH_001', N'Warehouse 001', N'PV_0050', N'DT_0544', N'', N'', N'', N'', N'', N'', N'&lt;Root&gt;&lt;/Root&gt;')</v>
      </c>
    </row>
    <row r="5" spans="1:12" x14ac:dyDescent="0.25">
      <c r="A5" t="s">
        <v>57</v>
      </c>
      <c r="B5" t="s">
        <v>81</v>
      </c>
      <c r="C5" t="s">
        <v>53</v>
      </c>
      <c r="D5" t="s">
        <v>55</v>
      </c>
      <c r="E5" t="s">
        <v>77</v>
      </c>
      <c r="L5" s="2" t="str">
        <f t="shared" ref="L5:L23" si="0">"INSERT INTO "&amp;$B$1&amp;" ("&amp;$A$3&amp;", "&amp;$B$3&amp;", "&amp;$C$3&amp;", "&amp;$D$3&amp;", "&amp;$E$3&amp;", "&amp;$F$3&amp;", "&amp;$G$3&amp;", "&amp;$H$3&amp;", "&amp;$I$3&amp;", "&amp;$J$3&amp;", "&amp;$K$3&amp;", XmlMeta) VALUES(N'"&amp;A5&amp;"', N'"&amp;B5&amp;"', N'"&amp;C5&amp;"', N'"&amp;D5&amp;"', N'"&amp;E5&amp;"', N'"&amp;F5&amp;"', N'"&amp;G5&amp;"', N'"&amp;H5&amp;"', N'"&amp;I5&amp;"', N'"&amp;J5&amp;"', N'"&amp;K5&amp;"', N'&lt;Root&gt;&lt;/Root&gt;')"</f>
        <v>INSERT INTO Master_Distributor_Warehouse (DistributorID, WarehouseID, WarehouseName, ProvinceID, DistrictID, WardID, Street, Phone, ContactName, IsActive, Note, XmlMeta) VALUES(N'DT_0002', N'WH_001', N'Warehouse 001', N'PV_0050', N'DT_0545', N'', N'', N'', N'', N'', N'', N'&lt;Root&gt;&lt;/Root&gt;')</v>
      </c>
    </row>
    <row r="6" spans="1:12" x14ac:dyDescent="0.25">
      <c r="A6" t="s">
        <v>58</v>
      </c>
      <c r="B6" t="s">
        <v>81</v>
      </c>
      <c r="C6" t="s">
        <v>53</v>
      </c>
      <c r="D6" t="s">
        <v>55</v>
      </c>
      <c r="E6" t="s">
        <v>78</v>
      </c>
      <c r="L6" s="2" t="str">
        <f t="shared" si="0"/>
        <v>INSERT INTO Master_Distributor_Warehouse (DistributorID, WarehouseID, WarehouseName, ProvinceID, DistrictID, WardID, Street, Phone, ContactName, IsActive, Note, XmlMeta) VALUES(N'DT_0003', N'WH_001', N'Warehouse 001', N'PV_0050', N'DT_0546', N'', N'', N'', N'', N'', N'', N'&lt;Root&gt;&lt;/Root&gt;')</v>
      </c>
    </row>
    <row r="7" spans="1:12" x14ac:dyDescent="0.25">
      <c r="A7" t="s">
        <v>59</v>
      </c>
      <c r="B7" t="s">
        <v>81</v>
      </c>
      <c r="C7" t="s">
        <v>53</v>
      </c>
      <c r="D7" t="s">
        <v>55</v>
      </c>
      <c r="E7" t="s">
        <v>79</v>
      </c>
      <c r="L7" s="2" t="str">
        <f t="shared" si="0"/>
        <v>INSERT INTO Master_Distributor_Warehouse (DistributorID, WarehouseID, WarehouseName, ProvinceID, DistrictID, WardID, Street, Phone, ContactName, IsActive, Note, XmlMeta) VALUES(N'DT_0004', N'WH_001', N'Warehouse 001', N'PV_0050', N'DT_0547', N'', N'', N'', N'', N'', N'', N'&lt;Root&gt;&lt;/Root&gt;')</v>
      </c>
    </row>
    <row r="8" spans="1:12" x14ac:dyDescent="0.25">
      <c r="A8" t="s">
        <v>60</v>
      </c>
      <c r="B8" t="s">
        <v>81</v>
      </c>
      <c r="C8" t="s">
        <v>53</v>
      </c>
      <c r="D8" t="s">
        <v>55</v>
      </c>
      <c r="E8" t="s">
        <v>80</v>
      </c>
      <c r="L8" s="2" t="str">
        <f t="shared" si="0"/>
        <v>INSERT INTO Master_Distributor_Warehouse (DistributorID, WarehouseID, WarehouseName, ProvinceID, DistrictID, WardID, Street, Phone, ContactName, IsActive, Note, XmlMeta) VALUES(N'DT_0005', N'WH_001', N'Warehouse 001', N'PV_0050', N'DT_0548', N'', N'', N'', N'', N'', N'', N'&lt;Root&gt;&lt;/Root&gt;')</v>
      </c>
    </row>
    <row r="9" spans="1:12" x14ac:dyDescent="0.25">
      <c r="A9" t="s">
        <v>61</v>
      </c>
      <c r="B9" t="s">
        <v>81</v>
      </c>
      <c r="C9" t="s">
        <v>53</v>
      </c>
      <c r="D9" t="s">
        <v>54</v>
      </c>
      <c r="E9" t="s">
        <v>56</v>
      </c>
      <c r="L9" s="2" t="str">
        <f t="shared" si="0"/>
        <v>INSERT INTO Master_Distributor_Warehouse (DistributorID, WarehouseID, WarehouseName, ProvinceID, DistrictID, WardID, Street, Phone, ContactName, IsActive, Note, XmlMeta) VALUES(N'DT_0006', N'WH_001', N'Warehouse 001', N'PV_0001', N'DT_0001', N'', N'', N'', N'', N'', N'', N'&lt;Root&gt;&lt;/Root&gt;')</v>
      </c>
    </row>
    <row r="10" spans="1:12" x14ac:dyDescent="0.25">
      <c r="A10" t="s">
        <v>62</v>
      </c>
      <c r="B10" t="s">
        <v>81</v>
      </c>
      <c r="C10" t="s">
        <v>53</v>
      </c>
      <c r="D10" t="s">
        <v>54</v>
      </c>
      <c r="E10" t="s">
        <v>57</v>
      </c>
      <c r="L10" s="2" t="str">
        <f t="shared" si="0"/>
        <v>INSERT INTO Master_Distributor_Warehouse (DistributorID, WarehouseID, WarehouseName, ProvinceID, DistrictID, WardID, Street, Phone, ContactName, IsActive, Note, XmlMeta) VALUES(N'DT_0007', N'WH_001', N'Warehouse 001', N'PV_0001', N'DT_0002', N'', N'', N'', N'', N'', N'', N'&lt;Root&gt;&lt;/Root&gt;')</v>
      </c>
    </row>
    <row r="11" spans="1:12" x14ac:dyDescent="0.25">
      <c r="A11" t="s">
        <v>63</v>
      </c>
      <c r="B11" t="s">
        <v>81</v>
      </c>
      <c r="C11" t="s">
        <v>53</v>
      </c>
      <c r="D11" t="s">
        <v>54</v>
      </c>
      <c r="E11" t="s">
        <v>58</v>
      </c>
      <c r="L11" s="2" t="str">
        <f t="shared" si="0"/>
        <v>INSERT INTO Master_Distributor_Warehouse (DistributorID, WarehouseID, WarehouseName, ProvinceID, DistrictID, WardID, Street, Phone, ContactName, IsActive, Note, XmlMeta) VALUES(N'DT_0008', N'WH_001', N'Warehouse 001', N'PV_0001', N'DT_0003', N'', N'', N'', N'', N'', N'', N'&lt;Root&gt;&lt;/Root&gt;')</v>
      </c>
    </row>
    <row r="12" spans="1:12" x14ac:dyDescent="0.25">
      <c r="A12" t="s">
        <v>64</v>
      </c>
      <c r="B12" t="s">
        <v>81</v>
      </c>
      <c r="C12" t="s">
        <v>53</v>
      </c>
      <c r="D12" t="s">
        <v>54</v>
      </c>
      <c r="E12" t="s">
        <v>59</v>
      </c>
      <c r="L12" s="2" t="str">
        <f t="shared" si="0"/>
        <v>INSERT INTO Master_Distributor_Warehouse (DistributorID, WarehouseID, WarehouseName, ProvinceID, DistrictID, WardID, Street, Phone, ContactName, IsActive, Note, XmlMeta) VALUES(N'DT_0009', N'WH_001', N'Warehouse 001', N'PV_0001', N'DT_0004', N'', N'', N'', N'', N'', N'', N'&lt;Root&gt;&lt;/Root&gt;')</v>
      </c>
    </row>
    <row r="13" spans="1:12" x14ac:dyDescent="0.25">
      <c r="A13" t="s">
        <v>65</v>
      </c>
      <c r="B13" t="s">
        <v>81</v>
      </c>
      <c r="C13" t="s">
        <v>53</v>
      </c>
      <c r="D13" t="s">
        <v>54</v>
      </c>
      <c r="E13" t="s">
        <v>60</v>
      </c>
      <c r="L13" s="2" t="str">
        <f t="shared" si="0"/>
        <v>INSERT INTO Master_Distributor_Warehouse (DistributorID, WarehouseID, WarehouseName, ProvinceID, DistrictID, WardID, Street, Phone, ContactName, IsActive, Note, XmlMeta) VALUES(N'DT_0010', N'WH_001', N'Warehouse 001', N'PV_0001', N'DT_0005', N'', N'', N'', N'', N'', N'', N'&lt;Root&gt;&lt;/Root&gt;')</v>
      </c>
    </row>
    <row r="14" spans="1:12" x14ac:dyDescent="0.25">
      <c r="A14" t="s">
        <v>66</v>
      </c>
      <c r="B14" t="s">
        <v>81</v>
      </c>
      <c r="C14" t="s">
        <v>53</v>
      </c>
      <c r="D14" t="s">
        <v>55</v>
      </c>
      <c r="E14" t="s">
        <v>76</v>
      </c>
      <c r="L14" s="2" t="str">
        <f t="shared" si="0"/>
        <v>INSERT INTO Master_Distributor_Warehouse (DistributorID, WarehouseID, WarehouseName, ProvinceID, DistrictID, WardID, Street, Phone, ContactName, IsActive, Note, XmlMeta) VALUES(N'DT_0011', N'WH_001', N'Warehouse 001', N'PV_0050', N'DT_0544', N'', N'', N'', N'', N'', N'', N'&lt;Root&gt;&lt;/Root&gt;')</v>
      </c>
    </row>
    <row r="15" spans="1:12" x14ac:dyDescent="0.25">
      <c r="A15" t="s">
        <v>67</v>
      </c>
      <c r="B15" t="s">
        <v>81</v>
      </c>
      <c r="C15" t="s">
        <v>53</v>
      </c>
      <c r="D15" t="s">
        <v>55</v>
      </c>
      <c r="E15" t="s">
        <v>77</v>
      </c>
      <c r="L15" s="2" t="str">
        <f t="shared" si="0"/>
        <v>INSERT INTO Master_Distributor_Warehouse (DistributorID, WarehouseID, WarehouseName, ProvinceID, DistrictID, WardID, Street, Phone, ContactName, IsActive, Note, XmlMeta) VALUES(N'DT_0012', N'WH_001', N'Warehouse 001', N'PV_0050', N'DT_0545', N'', N'', N'', N'', N'', N'', N'&lt;Root&gt;&lt;/Root&gt;')</v>
      </c>
    </row>
    <row r="16" spans="1:12" x14ac:dyDescent="0.25">
      <c r="A16" t="s">
        <v>68</v>
      </c>
      <c r="B16" t="s">
        <v>81</v>
      </c>
      <c r="C16" t="s">
        <v>53</v>
      </c>
      <c r="D16" t="s">
        <v>55</v>
      </c>
      <c r="E16" t="s">
        <v>78</v>
      </c>
      <c r="L16" s="2" t="str">
        <f t="shared" si="0"/>
        <v>INSERT INTO Master_Distributor_Warehouse (DistributorID, WarehouseID, WarehouseName, ProvinceID, DistrictID, WardID, Street, Phone, ContactName, IsActive, Note, XmlMeta) VALUES(N'DT_0013', N'WH_001', N'Warehouse 001', N'PV_0050', N'DT_0546', N'', N'', N'', N'', N'', N'', N'&lt;Root&gt;&lt;/Root&gt;')</v>
      </c>
    </row>
    <row r="17" spans="1:12" x14ac:dyDescent="0.25">
      <c r="A17" t="s">
        <v>69</v>
      </c>
      <c r="B17" t="s">
        <v>81</v>
      </c>
      <c r="C17" t="s">
        <v>53</v>
      </c>
      <c r="D17" t="s">
        <v>55</v>
      </c>
      <c r="E17" t="s">
        <v>79</v>
      </c>
      <c r="L17" s="2" t="str">
        <f t="shared" si="0"/>
        <v>INSERT INTO Master_Distributor_Warehouse (DistributorID, WarehouseID, WarehouseName, ProvinceID, DistrictID, WardID, Street, Phone, ContactName, IsActive, Note, XmlMeta) VALUES(N'DT_0014', N'WH_001', N'Warehouse 001', N'PV_0050', N'DT_0547', N'', N'', N'', N'', N'', N'', N'&lt;Root&gt;&lt;/Root&gt;')</v>
      </c>
    </row>
    <row r="18" spans="1:12" x14ac:dyDescent="0.25">
      <c r="A18" t="s">
        <v>70</v>
      </c>
      <c r="B18" t="s">
        <v>81</v>
      </c>
      <c r="C18" t="s">
        <v>53</v>
      </c>
      <c r="D18" t="s">
        <v>55</v>
      </c>
      <c r="E18" t="s">
        <v>80</v>
      </c>
      <c r="L18" s="2" t="str">
        <f t="shared" si="0"/>
        <v>INSERT INTO Master_Distributor_Warehouse (DistributorID, WarehouseID, WarehouseName, ProvinceID, DistrictID, WardID, Street, Phone, ContactName, IsActive, Note, XmlMeta) VALUES(N'DT_0015', N'WH_001', N'Warehouse 001', N'PV_0050', N'DT_0548', N'', N'', N'', N'', N'', N'', N'&lt;Root&gt;&lt;/Root&gt;')</v>
      </c>
    </row>
    <row r="19" spans="1:12" x14ac:dyDescent="0.25">
      <c r="A19" t="s">
        <v>71</v>
      </c>
      <c r="B19" t="s">
        <v>81</v>
      </c>
      <c r="C19" t="s">
        <v>53</v>
      </c>
      <c r="D19" t="s">
        <v>54</v>
      </c>
      <c r="E19" t="s">
        <v>56</v>
      </c>
      <c r="L19" s="2" t="str">
        <f t="shared" si="0"/>
        <v>INSERT INTO Master_Distributor_Warehouse (DistributorID, WarehouseID, WarehouseName, ProvinceID, DistrictID, WardID, Street, Phone, ContactName, IsActive, Note, XmlMeta) VALUES(N'DT_0016', N'WH_001', N'Warehouse 001', N'PV_0001', N'DT_0001', N'', N'', N'', N'', N'', N'', N'&lt;Root&gt;&lt;/Root&gt;')</v>
      </c>
    </row>
    <row r="20" spans="1:12" x14ac:dyDescent="0.25">
      <c r="A20" t="s">
        <v>72</v>
      </c>
      <c r="B20" t="s">
        <v>81</v>
      </c>
      <c r="C20" t="s">
        <v>53</v>
      </c>
      <c r="D20" t="s">
        <v>54</v>
      </c>
      <c r="E20" t="s">
        <v>57</v>
      </c>
      <c r="L20" s="2" t="str">
        <f t="shared" si="0"/>
        <v>INSERT INTO Master_Distributor_Warehouse (DistributorID, WarehouseID, WarehouseName, ProvinceID, DistrictID, WardID, Street, Phone, ContactName, IsActive, Note, XmlMeta) VALUES(N'DT_0017', N'WH_001', N'Warehouse 001', N'PV_0001', N'DT_0002', N'', N'', N'', N'', N'', N'', N'&lt;Root&gt;&lt;/Root&gt;')</v>
      </c>
    </row>
    <row r="21" spans="1:12" x14ac:dyDescent="0.25">
      <c r="A21" t="s">
        <v>73</v>
      </c>
      <c r="B21" t="s">
        <v>81</v>
      </c>
      <c r="C21" t="s">
        <v>53</v>
      </c>
      <c r="D21" t="s">
        <v>54</v>
      </c>
      <c r="E21" t="s">
        <v>58</v>
      </c>
      <c r="L21" s="2" t="str">
        <f t="shared" si="0"/>
        <v>INSERT INTO Master_Distributor_Warehouse (DistributorID, WarehouseID, WarehouseName, ProvinceID, DistrictID, WardID, Street, Phone, ContactName, IsActive, Note, XmlMeta) VALUES(N'DT_0018', N'WH_001', N'Warehouse 001', N'PV_0001', N'DT_0003', N'', N'', N'', N'', N'', N'', N'&lt;Root&gt;&lt;/Root&gt;')</v>
      </c>
    </row>
    <row r="22" spans="1:12" x14ac:dyDescent="0.25">
      <c r="A22" t="s">
        <v>74</v>
      </c>
      <c r="B22" t="s">
        <v>81</v>
      </c>
      <c r="C22" t="s">
        <v>53</v>
      </c>
      <c r="D22" t="s">
        <v>54</v>
      </c>
      <c r="E22" t="s">
        <v>59</v>
      </c>
      <c r="L22" s="2" t="str">
        <f t="shared" si="0"/>
        <v>INSERT INTO Master_Distributor_Warehouse (DistributorID, WarehouseID, WarehouseName, ProvinceID, DistrictID, WardID, Street, Phone, ContactName, IsActive, Note, XmlMeta) VALUES(N'DT_0019', N'WH_001', N'Warehouse 001', N'PV_0001', N'DT_0004', N'', N'', N'', N'', N'', N'', N'&lt;Root&gt;&lt;/Root&gt;')</v>
      </c>
    </row>
    <row r="23" spans="1:12" x14ac:dyDescent="0.25">
      <c r="A23" t="s">
        <v>75</v>
      </c>
      <c r="B23" t="s">
        <v>81</v>
      </c>
      <c r="C23" t="s">
        <v>53</v>
      </c>
      <c r="D23" t="s">
        <v>54</v>
      </c>
      <c r="E23" t="s">
        <v>60</v>
      </c>
      <c r="L23" s="2" t="str">
        <f t="shared" si="0"/>
        <v>INSERT INTO Master_Distributor_Warehouse (DistributorID, WarehouseID, WarehouseName, ProvinceID, DistrictID, WardID, Street, Phone, ContactName, IsActive, Note, XmlMeta) VALUES(N'DT_0020', N'WH_001', N'Warehouse 001', N'PV_0001', N'DT_0005', N'', N'', N'', N'', N'', N'',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1" sqref="D1"/>
    </sheetView>
  </sheetViews>
  <sheetFormatPr defaultRowHeight="13.2" x14ac:dyDescent="0.25"/>
  <cols>
    <col min="2" max="2" width="10.33203125" bestFit="1" customWidth="1"/>
  </cols>
  <sheetData>
    <row r="1" spans="1:3" x14ac:dyDescent="0.25">
      <c r="A1" t="s">
        <v>138</v>
      </c>
      <c r="B1" t="s">
        <v>139</v>
      </c>
      <c r="C1" t="s">
        <v>140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 List</vt:lpstr>
      <vt:lpstr>Auth_User</vt:lpstr>
      <vt:lpstr>Auth_Role</vt:lpstr>
      <vt:lpstr>Auth_Menu</vt:lpstr>
      <vt:lpstr>Auth_Action</vt:lpstr>
      <vt:lpstr>Auth_UserInRole</vt:lpstr>
      <vt:lpstr>DC_Parameter</vt:lpstr>
      <vt:lpstr>Announcement</vt:lpstr>
      <vt:lpstr>Calendar</vt:lpstr>
      <vt:lpstr>Warehouse1</vt:lpstr>
      <vt:lpstr>Company</vt:lpstr>
      <vt:lpstr>WareHouse</vt:lpstr>
      <vt:lpstr>Employee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Nguyen Hoang Duy (GSC.DMS)</cp:lastModifiedBy>
  <dcterms:created xsi:type="dcterms:W3CDTF">2014-12-08T03:14:49Z</dcterms:created>
  <dcterms:modified xsi:type="dcterms:W3CDTF">2017-03-29T14:33:35Z</dcterms:modified>
</cp:coreProperties>
</file>