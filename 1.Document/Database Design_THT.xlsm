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8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  <sheet name="Product" sheetId="262" r:id="rId11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55" i="259" l="1"/>
  <c r="C55" i="259"/>
  <c r="B56" i="259"/>
  <c r="C56" i="259"/>
  <c r="B57" i="259"/>
  <c r="C57" i="259"/>
  <c r="B58" i="259"/>
  <c r="C58" i="259"/>
  <c r="B59" i="259"/>
  <c r="C59" i="259"/>
  <c r="B60" i="259"/>
  <c r="C60" i="259"/>
  <c r="B61" i="259"/>
  <c r="C61" i="259"/>
  <c r="B62" i="259"/>
  <c r="C62" i="259"/>
  <c r="B63" i="259"/>
  <c r="C63" i="259"/>
  <c r="B64" i="259"/>
  <c r="C64" i="259"/>
  <c r="B65" i="259"/>
  <c r="C65" i="259"/>
  <c r="B25" i="259"/>
  <c r="B26" i="259"/>
  <c r="B27" i="259"/>
  <c r="B28" i="259"/>
  <c r="B29" i="259"/>
  <c r="B30" i="259"/>
  <c r="B31" i="259"/>
  <c r="B32" i="259"/>
  <c r="B33" i="259"/>
  <c r="B34" i="259"/>
  <c r="B35" i="259"/>
  <c r="B90" i="262"/>
  <c r="C90" i="262"/>
  <c r="B91" i="262"/>
  <c r="C91" i="262"/>
  <c r="B92" i="262"/>
  <c r="C92" i="262"/>
  <c r="B93" i="262"/>
  <c r="C93" i="262"/>
  <c r="B94" i="262"/>
  <c r="C94" i="262"/>
  <c r="B95" i="262"/>
  <c r="C95" i="262"/>
  <c r="B52" i="262"/>
  <c r="B53" i="262"/>
  <c r="B54" i="262"/>
  <c r="B55" i="262"/>
  <c r="B51" i="262"/>
  <c r="B75" i="262"/>
  <c r="C75" i="262"/>
  <c r="B76" i="262"/>
  <c r="C76" i="262"/>
  <c r="B77" i="262"/>
  <c r="C77" i="262"/>
  <c r="B78" i="262"/>
  <c r="C78" i="262"/>
  <c r="B79" i="262"/>
  <c r="C79" i="262"/>
  <c r="B80" i="262"/>
  <c r="C80" i="262"/>
  <c r="B81" i="262"/>
  <c r="C81" i="262"/>
  <c r="B82" i="262"/>
  <c r="C82" i="262"/>
  <c r="B83" i="262"/>
  <c r="C83" i="262"/>
  <c r="B84" i="262"/>
  <c r="C84" i="262"/>
  <c r="B85" i="262"/>
  <c r="C85" i="262"/>
  <c r="B86" i="262"/>
  <c r="C86" i="262"/>
  <c r="B87" i="262"/>
  <c r="C87" i="262"/>
  <c r="B88" i="262"/>
  <c r="C88" i="262"/>
  <c r="B89" i="262"/>
  <c r="C89" i="262"/>
  <c r="B35" i="262"/>
  <c r="B36" i="262"/>
  <c r="B37" i="262"/>
  <c r="B38" i="262"/>
  <c r="B39" i="262"/>
  <c r="B40" i="262"/>
  <c r="B41" i="262"/>
  <c r="B42" i="262"/>
  <c r="B43" i="262"/>
  <c r="B44" i="262"/>
  <c r="B45" i="262"/>
  <c r="B46" i="262"/>
  <c r="B47" i="262"/>
  <c r="B48" i="262"/>
  <c r="B49" i="262"/>
  <c r="B50" i="262"/>
  <c r="C96" i="262"/>
  <c r="C74" i="262"/>
  <c r="B74" i="262"/>
  <c r="B70" i="262"/>
  <c r="C62" i="262"/>
  <c r="B60" i="262"/>
  <c r="A59" i="262"/>
  <c r="B34" i="262"/>
  <c r="A33" i="262"/>
  <c r="A30" i="262"/>
  <c r="A29" i="262"/>
  <c r="B63" i="258"/>
  <c r="C63" i="258"/>
  <c r="B64" i="258"/>
  <c r="C64" i="258"/>
  <c r="B65" i="258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75" i="258"/>
  <c r="C75" i="258"/>
  <c r="B76" i="258"/>
  <c r="C76" i="258"/>
  <c r="B77" i="258"/>
  <c r="C77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43" i="258"/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66" i="259" l="1"/>
  <c r="C54" i="259"/>
  <c r="B54" i="259"/>
  <c r="B50" i="259"/>
  <c r="C42" i="259"/>
  <c r="B40" i="259"/>
  <c r="A39" i="259"/>
  <c r="B24" i="259"/>
  <c r="A23" i="259"/>
  <c r="A20" i="259"/>
  <c r="A19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7" i="66" a="1"/>
  <c r="A8" i="66" a="1"/>
  <c r="A7" i="66" a="1"/>
  <c r="A16" i="66" a="1"/>
  <c r="A13" i="66" a="1"/>
  <c r="A4" i="66" a="1"/>
  <c r="A14" i="66" a="1"/>
  <c r="A11" i="66" a="1"/>
  <c r="A12" i="66" a="1"/>
  <c r="A9" i="66" a="1"/>
  <c r="A3" i="66" a="1"/>
  <c r="A15" i="66" a="1"/>
  <c r="A18" i="66" a="1"/>
  <c r="A6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8" i="258"/>
  <c r="C62" i="258"/>
  <c r="B62" i="258"/>
  <c r="B58" i="258"/>
  <c r="C50" i="258"/>
  <c r="B48" i="258"/>
  <c r="A47" i="258"/>
  <c r="B28" i="258"/>
  <c r="A27" i="258"/>
  <c r="A24" i="258"/>
  <c r="A23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<sst xmlns="http://schemas.openxmlformats.org/spreadsheetml/2006/main" count="609" uniqueCount="86">
  <si>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</si>
  <si>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</si>
  <si>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</si>
  <si>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</si>
  <si>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</si>
  <si>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</si>
  <si>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</si>
  <si>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</si>
  <si>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</si>
  <si>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</si>
  <si>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</si>
  <si>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</si>
  <si>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</si>
  <si>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</si>
  <si>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</si>
  <si>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</si>
  <si>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</si>
  <si>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</si>
  <si>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</si>
  <si>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</si>
  <si>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</si>
  <si>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</si>
  <si>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</si>
  <si>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</si>
  <si>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</si>
  <si>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</si>
  <si>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</si>
  <si>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</si>
  <si>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</si>
  <si>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</si>
  <si>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</si>
  <si>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</si>
  <si>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</si>
  <si>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</si>
  <si>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</si>
  <si>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</si>
  <si>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</si>
  <si>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</si>
  <si>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</si>
  <si>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</si>
  <si>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</si>
  <si>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</si>
  <si>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</si>
  <si>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</si>
  <si>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</si>
  <si>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</si>
  <si>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</si>
  <si>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</si>
  <si>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</si>
  <si>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</si>
  <si>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</si>
  <si>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</si>
  <si>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</si>
  <si>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</si>
  <si>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</si>
  <si>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</si>
  <si>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</si>
  <si>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</si>
  <si>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</si>
  <si>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</si>
  <si>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</si>
  <si>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</si>
  <si>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</si>
  <si>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</si>
  <si>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</si>
  <si>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</si>
  <si>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</si>
  <si>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</si>
  <si>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</si>
  <si>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</si>
  <si>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</si>
  <si>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</si>
  <si>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</si>
  <si>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</si>
  <si>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</si>
  <si>
    <t>ten_san_pham_sx</t>
  </si>
  <si>
    <t>Product</t>
  </si>
  <si>
    <t>ma_nhan_vien_quet</t>
  </si>
  <si>
    <t>vi_tri_loi</t>
  </si>
  <si>
    <t>muc_do_nghiem_trong</t>
  </si>
  <si>
    <t>hinh_anh_loi</t>
  </si>
  <si>
    <t>mieu_ta_loi</t>
  </si>
  <si>
    <t>he_so_chat_luong</t>
  </si>
  <si>
    <t>nhan_vien_qc</t>
  </si>
  <si>
    <t>ngay_quet_qc</t>
  </si>
  <si>
    <t>GETDATE()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</si>
</sst>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/>
  </cellStyleXfs>
  <cellXfs count="48">
    <xf numFmtId="0" fontId="0" fillId="0" borderId="0" xfId="0"/>
    <xf numFmtId="0" fontId="0" fillId="2" borderId="0" xfId="0" applyFill="1"/>
    <xf numFmtId="0" fontId="7" fillId="0" borderId="0" xfId="0" applyFont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7" fillId="3" borderId="0" xfId="0" applyFont="1" applyFill="1" applyBorder="1"/>
    <xf numFmtId="0" fontId="6" fillId="3" borderId="0" xfId="0" applyFont="1" applyFill="1" applyBorder="1"/>
    <xf numFmtId="49" fontId="6" fillId="3" borderId="0" xfId="0" applyNumberFormat="1" applyFont="1" applyFill="1" applyBorder="1" applyAlignment="1">
      <alignment horizont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3" xfId="0" quotePrefix="1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6" fillId="3" borderId="5" xfId="0" applyFont="1" applyFill="1" applyBorder="1"/>
    <xf numFmtId="49" fontId="6" fillId="3" borderId="5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7" fillId="0" borderId="4" xfId="0" applyFont="1" applyBorder="1"/>
    <xf numFmtId="0" fontId="7" fillId="0" borderId="5" xfId="0" applyFont="1" applyBorder="1"/>
    <xf numFmtId="0" fontId="6" fillId="0" borderId="5" xfId="0" applyFont="1" applyBorder="1"/>
    <xf numFmtId="0" fontId="8" fillId="4" borderId="9" xfId="0" applyFont="1" applyFill="1" applyBorder="1"/>
    <xf numFmtId="0" fontId="8" fillId="4" borderId="10" xfId="0" applyFont="1" applyFill="1" applyBorder="1"/>
    <xf numFmtId="0" fontId="8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1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9" fillId="0" borderId="15" xfId="1" applyBorder="1"/>
    <xf numFmtId="0" fontId="0" fillId="7" borderId="15" xfId="0" applyFill="1" applyBorder="1"/>
    <xf numFmtId="0" fontId="10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4" fillId="0" borderId="0" xfId="2" applyFont="1"/>
    <xf numFmtId="0" fontId="3" fillId="0" borderId="0" xfId="2" applyFont="1"/>
    <xf numFmtId="14" fontId="7" fillId="3" borderId="0" xfId="0" applyNumberFormat="1" applyFont="1" applyFill="1" applyBorder="1"/>
    <xf numFmtId="0" fontId="0" fillId="0" borderId="10" xfId="0" quotePrefix="1" applyFont="1" applyBorder="1"/>
    <xf numFmtId="0" fontId="2" fillId="0" borderId="0" xfId="2" applyFont="1"/>
    <xf numFmtId="0" fontId="6" fillId="3" borderId="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>Product</v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5" sqref="A5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46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44</v>
      </c>
      <c r="B8" s="23" t="s">
        <v>67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10" sqref="A10:F1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39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48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49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68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workbookViewId="0">
      <selection activeCell="A8" sqref="A8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43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activeCell="G8" sqref="G8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53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>
      <selection activeCell="G8" sqref="G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54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43" t="s">
        <v>68</v>
      </c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 DEFAULT ('A'),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A9" sqref="A9:F13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69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71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64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64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43" t="s">
        <v>68</v>
      </c>
      <c r="H9" s="23"/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 DEFAULT ('A'),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workbookViewId="0">
      <selection activeCell="F7" sqref="A7:F11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73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40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74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43" t="s">
        <v>68</v>
      </c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 DEFAULT ('A'),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73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8"/>
  <sheetViews>
    <sheetView tabSelected="1" topLeftCell="A55" workbookViewId="0">
      <selection activeCell="H72" sqref="H72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57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58</v>
      </c>
      <c r="B7" s="23" t="s">
        <v>20</v>
      </c>
      <c r="C7" s="27">
        <v>100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75</v>
      </c>
      <c r="B8" s="23" t="s">
        <v>20</v>
      </c>
      <c r="C8" s="27">
        <v>200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38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52</v>
      </c>
      <c r="B10" s="23" t="s">
        <v>7</v>
      </c>
      <c r="C10" s="27">
        <v>40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5">
      <c r="A11" s="22" t="s">
        <v>59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60</v>
      </c>
      <c r="B12" s="23" t="s">
        <v>20</v>
      </c>
      <c r="C12" s="27">
        <v>50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61</v>
      </c>
      <c r="B13" s="23" t="s">
        <v>45</v>
      </c>
      <c r="C13" s="27"/>
      <c r="D13" s="23"/>
      <c r="E13" s="23"/>
      <c r="F13" s="23" t="b">
        <v>0</v>
      </c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43" t="s">
        <v>68</v>
      </c>
      <c r="H14" s="23"/>
      <c r="I14" s="24"/>
      <c r="J14" s="25"/>
    </row>
    <row r="15" spans="1:10" x14ac:dyDescent="0.25">
      <c r="A15" s="22" t="s">
        <v>72</v>
      </c>
      <c r="B15" s="23" t="s">
        <v>20</v>
      </c>
      <c r="C15" s="27">
        <v>1000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21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22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23</v>
      </c>
      <c r="B18" s="23" t="s">
        <v>9</v>
      </c>
      <c r="C18" s="27"/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24</v>
      </c>
      <c r="B19" s="23" t="s">
        <v>20</v>
      </c>
      <c r="C19" s="27">
        <v>32</v>
      </c>
      <c r="D19" s="23"/>
      <c r="E19" s="23"/>
      <c r="F19" s="23" t="b">
        <v>1</v>
      </c>
      <c r="G19" s="23"/>
      <c r="H19" s="23"/>
      <c r="I19" s="24"/>
      <c r="J19" s="25"/>
    </row>
    <row r="20" spans="1:12" ht="13.8" thickBot="1" x14ac:dyDescent="0.3"/>
    <row r="21" spans="1:12" ht="13.8" thickBot="1" x14ac:dyDescent="0.3">
      <c r="A21" s="45" t="s">
        <v>10</v>
      </c>
      <c r="B21" s="46"/>
      <c r="C21" s="16"/>
      <c r="D21" s="17"/>
      <c r="E21" s="17"/>
      <c r="F21" s="18"/>
      <c r="G21" s="18"/>
      <c r="H21" s="18"/>
      <c r="I21" s="18"/>
      <c r="J21" s="18"/>
      <c r="K21" s="18"/>
      <c r="L21" s="18"/>
    </row>
    <row r="22" spans="1:12" x14ac:dyDescent="0.25">
      <c r="A22" s="5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tr">
        <f>"drop table [dbo].["&amp;$B$1&amp;"]"</f>
        <v>drop table [dbo].[Lenh_San_Xuat]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 t="s">
        <v>11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9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 t="str">
        <f>"CREATE TABLE [dbo].["&amp;$B$1&amp;"] ("</f>
        <v>CREATE TABLE [dbo].[Lenh_San_Xuat] (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ref="B29:B4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[don_vi_mua_hang] [nvarchar] (200)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[ma_san_pham_sx] [nvarchar] (100)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[ten_san_pham_sx] [nvarchar] (200)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[so_luong] [int]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[ma_quy_trinh_sx] [varchar] (40)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[thoi_gian_du_kien] [datetime]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[ban_ve] [nvarchar] (50)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[khoi_luong] [double] ()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[trang_thai] [varchar] (32) NULL DEFAULT ('A'),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[ghi_chu] [nvarchar] (1000)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[dbo].[Lenh_San_Xuat]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[PK_Lenh_San_Xuat]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Lenh_San_Xuat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 t="shared" ref="B63:B77" si="1">IF(OR($B5="nvarchar",$B5="varchar"),"string",IF($B5="datetime","DateTime",$B5))</f>
        <v>string</v>
      </c>
      <c r="C63" s="33" t="str">
        <f t="shared" ref="C63:C77" si="2">A5&amp;" "&amp;$C$54</f>
        <v>ma_lenh_sx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don_vi_mua_hang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ma_san_pham_sx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ten_san_pham_sx  { get; set; }</v>
      </c>
    </row>
    <row r="67" spans="1:3" x14ac:dyDescent="0.25">
      <c r="A67" s="33" t="s">
        <v>31</v>
      </c>
      <c r="B67" s="33" t="str">
        <f t="shared" si="1"/>
        <v>int</v>
      </c>
      <c r="C67" s="33" t="str">
        <f t="shared" si="2"/>
        <v>so_luong  { get; set; }</v>
      </c>
    </row>
    <row r="68" spans="1:3" x14ac:dyDescent="0.25">
      <c r="A68" s="33" t="s">
        <v>31</v>
      </c>
      <c r="B68" s="33" t="str">
        <f t="shared" si="1"/>
        <v>string</v>
      </c>
      <c r="C68" s="33" t="str">
        <f t="shared" si="2"/>
        <v>ma_quy_trinh_sx  { get; set; }</v>
      </c>
    </row>
    <row r="69" spans="1:3" x14ac:dyDescent="0.25">
      <c r="A69" s="33" t="s">
        <v>31</v>
      </c>
      <c r="B69" s="33" t="str">
        <f t="shared" si="1"/>
        <v>DateTime</v>
      </c>
      <c r="C69" s="33" t="str">
        <f t="shared" si="2"/>
        <v>thoi_gian_du_kien  { get; set; }</v>
      </c>
    </row>
    <row r="70" spans="1:3" x14ac:dyDescent="0.25">
      <c r="A70" s="33" t="s">
        <v>31</v>
      </c>
      <c r="B70" s="33" t="str">
        <f t="shared" si="1"/>
        <v>string</v>
      </c>
      <c r="C70" s="33" t="str">
        <f t="shared" si="2"/>
        <v>ban_ve  { get; set; }</v>
      </c>
    </row>
    <row r="71" spans="1:3" x14ac:dyDescent="0.25">
      <c r="A71" s="33" t="s">
        <v>31</v>
      </c>
      <c r="B71" s="33" t="str">
        <f t="shared" si="1"/>
        <v>double</v>
      </c>
      <c r="C71" s="33" t="str">
        <f t="shared" si="2"/>
        <v>khoi_luong  { get; set; }</v>
      </c>
    </row>
    <row r="72" spans="1:3" x14ac:dyDescent="0.25">
      <c r="A72" s="33" t="s">
        <v>31</v>
      </c>
      <c r="B72" s="33" t="str">
        <f t="shared" si="1"/>
        <v>string</v>
      </c>
      <c r="C72" s="33" t="str">
        <f t="shared" si="2"/>
        <v>trang_thai  { get; set; }</v>
      </c>
    </row>
    <row r="73" spans="1:3" x14ac:dyDescent="0.25">
      <c r="A73" s="33" t="s">
        <v>31</v>
      </c>
      <c r="B73" s="33" t="str">
        <f t="shared" si="1"/>
        <v>string</v>
      </c>
      <c r="C73" s="33" t="str">
        <f t="shared" si="2"/>
        <v>ghi_chu  { get; set; }</v>
      </c>
    </row>
    <row r="74" spans="1:3" x14ac:dyDescent="0.25">
      <c r="A74" s="33" t="s">
        <v>31</v>
      </c>
      <c r="B74" s="33" t="str">
        <f t="shared" si="1"/>
        <v>DateTime</v>
      </c>
      <c r="C74" s="33" t="str">
        <f t="shared" si="2"/>
        <v>ngay_tao  { get; set; }</v>
      </c>
    </row>
    <row r="75" spans="1:3" x14ac:dyDescent="0.25">
      <c r="A75" s="33" t="s">
        <v>31</v>
      </c>
      <c r="B75" s="33" t="str">
        <f t="shared" si="1"/>
        <v>string</v>
      </c>
      <c r="C75" s="33" t="str">
        <f t="shared" si="2"/>
        <v>nguoi_tao  { get; set; }</v>
      </c>
    </row>
    <row r="76" spans="1:3" x14ac:dyDescent="0.25">
      <c r="A76" s="33" t="s">
        <v>31</v>
      </c>
      <c r="B76" s="33" t="str">
        <f t="shared" si="1"/>
        <v>DateTime</v>
      </c>
      <c r="C76" s="33" t="str">
        <f t="shared" si="2"/>
        <v>ngay_cap_nhat  { get; set; }</v>
      </c>
    </row>
    <row r="77" spans="1:3" x14ac:dyDescent="0.25">
      <c r="A77" s="33" t="s">
        <v>31</v>
      </c>
      <c r="B77" s="33" t="str">
        <f t="shared" si="1"/>
        <v>string</v>
      </c>
      <c r="C77" s="33" t="str">
        <f t="shared" si="2"/>
        <v>nguoi_cap_nhat  { get; set; }</v>
      </c>
    </row>
    <row r="78" spans="1:3" ht="14.4" customHeight="1" x14ac:dyDescent="0.25">
      <c r="A78" s="33" t="s">
        <v>32</v>
      </c>
      <c r="B78" s="33"/>
      <c r="C78" s="33" t="str">
        <f>IF($B21="nvarchar","("&amp;$C$5&amp;")",IF($B21="varchar","("&amp;$C21&amp;")",""))</f>
        <v/>
      </c>
    </row>
  </sheetData>
  <mergeCells count="1">
    <mergeCell ref="A21:B21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"/>
  <sheetViews>
    <sheetView workbookViewId="0">
      <selection activeCell="H11" sqref="H11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63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7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7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5">
      <c r="A8" s="22" t="s">
        <v>40</v>
      </c>
      <c r="B8" s="23" t="s">
        <v>7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74</v>
      </c>
      <c r="B9" s="23" t="s">
        <v>9</v>
      </c>
      <c r="C9" s="27"/>
      <c r="D9" s="23"/>
      <c r="E9" s="23"/>
      <c r="F9" s="23" t="b">
        <v>1</v>
      </c>
      <c r="G9" s="23" t="s">
        <v>85</v>
      </c>
      <c r="H9" s="23"/>
      <c r="I9" s="24"/>
      <c r="J9" s="25"/>
    </row>
    <row r="10" spans="1:10" x14ac:dyDescent="0.25">
      <c r="A10" s="22" t="s">
        <v>59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33</v>
      </c>
      <c r="B11" s="23" t="s">
        <v>7</v>
      </c>
      <c r="C11" s="27">
        <v>32</v>
      </c>
      <c r="D11" s="23"/>
      <c r="E11" s="23"/>
      <c r="F11" s="23" t="b">
        <v>1</v>
      </c>
      <c r="G11" s="43" t="s">
        <v>68</v>
      </c>
      <c r="H11" s="23"/>
      <c r="I11" s="24"/>
      <c r="J11" s="25"/>
    </row>
    <row r="12" spans="1:10" x14ac:dyDescent="0.25">
      <c r="A12" s="22" t="s">
        <v>21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22</v>
      </c>
      <c r="B13" s="23" t="s">
        <v>20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23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24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ht="13.8" thickBot="1" x14ac:dyDescent="0.3"/>
    <row r="17" spans="1:12" ht="13.8" thickBot="1" x14ac:dyDescent="0.3">
      <c r="A17" s="45" t="s">
        <v>10</v>
      </c>
      <c r="B17" s="46"/>
      <c r="C17" s="16"/>
      <c r="D17" s="17"/>
      <c r="E17" s="17"/>
      <c r="F17" s="18"/>
      <c r="G17" s="18"/>
      <c r="H17" s="18"/>
      <c r="I17" s="18"/>
      <c r="J17" s="18"/>
      <c r="K17" s="18"/>
      <c r="L17" s="18"/>
    </row>
    <row r="18" spans="1:12" x14ac:dyDescent="0.25">
      <c r="A18" s="5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tr">
        <f>"drop table [dbo].["&amp;$B$1&amp;"]"</f>
        <v>drop table [dbo].[Phan_Cong_Nhiem_Vu]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 t="s">
        <v>11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/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 t="str">
        <f>"CREATE TABLE [dbo].["&amp;$B$1&amp;"] ("</f>
        <v>CREATE TABLE [dbo].[Phan_Cong_Nhiem_Vu] (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ref="B25:B35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[ma_quy_trinh_sx] [varchar] (40)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[ma_cong_viec]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[ma_nhan_vien] [varchar] (100)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[ngay] [datetime] NULL DEFAULT (GETDATE()),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[thoi_gian_du_kien]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[trang_thai] [varchar] (32) NULL DEFAULT ('A'),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[ngay_tao]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[nguoi_tao] [nvarchar] (32)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[ngay_cap_nhat]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>[nguoi_cap_nhat] [nvarchar] (32) NULL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 t="s">
        <v>12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">
        <v>11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 t="str">
        <f>"ALTER TABLE [dbo].["&amp;$B$1&amp;"] ADD"</f>
        <v>ALTER TABLE [dbo].[Phan_Cong_Nhiem_Vu] ADD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 t="str">
        <f>"CONSTRAINT [PK_"&amp;$B$1&amp;"] PRIMARY KEY  CLUSTERED"</f>
        <v>CONSTRAINT [PK_Phan_Cong_Nhiem_Vu] PRIMARY KEY  CLUSTERED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 t="s">
        <v>13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IF(D4=TRUE, "["&amp;A4&amp;"]"&amp;IF(D5="", "", ", "), "")</f>
        <v>[id]</v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Phan_Cong_Nhiem_Vu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5" si="1">IF(OR($B5="nvarchar",$B5="varchar"),"string",IF($B5="datetime","DateTime",$B5))</f>
        <v>string</v>
      </c>
      <c r="C55" s="33" t="str">
        <f t="shared" ref="C55:C65" si="2">A5&amp;" "&amp;$C$46</f>
        <v>ma_lenh_sx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ma_quy_trinh_sx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ma_cong_viec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ma_nhan_vien  { get; set; }</v>
      </c>
    </row>
    <row r="59" spans="1:3" x14ac:dyDescent="0.25">
      <c r="A59" s="33" t="s">
        <v>31</v>
      </c>
      <c r="B59" s="33" t="str">
        <f t="shared" si="1"/>
        <v>DateTime</v>
      </c>
      <c r="C59" s="33" t="str">
        <f t="shared" si="2"/>
        <v>ngay  { get; set; }</v>
      </c>
    </row>
    <row r="60" spans="1:3" x14ac:dyDescent="0.25">
      <c r="A60" s="33" t="s">
        <v>31</v>
      </c>
      <c r="B60" s="33" t="str">
        <f t="shared" si="1"/>
        <v>DateTime</v>
      </c>
      <c r="C60" s="33" t="str">
        <f t="shared" si="2"/>
        <v>thoi_gian_du_kien  { get; set; }</v>
      </c>
    </row>
    <row r="61" spans="1:3" x14ac:dyDescent="0.25">
      <c r="A61" s="33" t="s">
        <v>31</v>
      </c>
      <c r="B61" s="33" t="str">
        <f t="shared" si="1"/>
        <v>string</v>
      </c>
      <c r="C61" s="33" t="str">
        <f t="shared" si="2"/>
        <v>trang_thai  { get; set; }</v>
      </c>
    </row>
    <row r="62" spans="1:3" x14ac:dyDescent="0.25">
      <c r="A62" s="33" t="s">
        <v>31</v>
      </c>
      <c r="B62" s="33" t="str">
        <f t="shared" si="1"/>
        <v>DateTime</v>
      </c>
      <c r="C62" s="33" t="str">
        <f t="shared" si="2"/>
        <v>ngay_tao  { get; set; }</v>
      </c>
    </row>
    <row r="63" spans="1:3" x14ac:dyDescent="0.25">
      <c r="A63" s="33" t="s">
        <v>31</v>
      </c>
      <c r="B63" s="33" t="str">
        <f t="shared" si="1"/>
        <v>string</v>
      </c>
      <c r="C63" s="33" t="str">
        <f t="shared" si="2"/>
        <v>nguoi_tao  { get; set; }</v>
      </c>
    </row>
    <row r="64" spans="1:3" x14ac:dyDescent="0.25">
      <c r="A64" s="33" t="s">
        <v>31</v>
      </c>
      <c r="B64" s="33" t="str">
        <f t="shared" si="1"/>
        <v>DateTime</v>
      </c>
      <c r="C64" s="33" t="str">
        <f t="shared" si="2"/>
        <v>ngay_cap_nhat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nguoi_cap_nhat  { get; set; }</v>
      </c>
    </row>
    <row r="66" spans="1:3" ht="14.4" customHeight="1" x14ac:dyDescent="0.25">
      <c r="A66" s="33" t="s">
        <v>32</v>
      </c>
      <c r="B66" s="33"/>
      <c r="C66" s="33" t="str">
        <f>IF($B17="nvarchar","("&amp;$C$5&amp;")",IF($B17="varchar","("&amp;$C17&amp;")",""))</f>
        <v/>
      </c>
    </row>
  </sheetData>
  <mergeCells count="1">
    <mergeCell ref="A17:B17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opLeftCell="A79" workbookViewId="0">
      <selection activeCell="A72" sqref="A72:D95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76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56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52</v>
      </c>
      <c r="B6" s="23" t="s">
        <v>20</v>
      </c>
      <c r="C6" s="27">
        <v>40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43</v>
      </c>
      <c r="B7" s="23" t="s">
        <v>20</v>
      </c>
      <c r="C7" s="27">
        <v>40</v>
      </c>
      <c r="D7" s="23"/>
      <c r="E7" s="23"/>
      <c r="F7" s="23" t="b">
        <v>0</v>
      </c>
      <c r="G7" s="23"/>
      <c r="H7" s="23"/>
      <c r="I7" s="24"/>
      <c r="J7" s="25"/>
    </row>
    <row r="8" spans="1:10" ht="14.4" x14ac:dyDescent="0.3">
      <c r="A8" s="47" t="s">
        <v>54</v>
      </c>
      <c r="B8" s="23" t="s">
        <v>19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5">
      <c r="A9" s="22" t="s">
        <v>34</v>
      </c>
      <c r="B9" s="23" t="s">
        <v>20</v>
      </c>
      <c r="C9" s="27">
        <v>100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5">
      <c r="A10" s="22" t="s">
        <v>64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5">
      <c r="A11" s="22" t="s">
        <v>62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5">
      <c r="A12" s="22" t="s">
        <v>77</v>
      </c>
      <c r="B12" s="23" t="s">
        <v>20</v>
      </c>
      <c r="C12" s="27">
        <v>100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43" t="s">
        <v>68</v>
      </c>
      <c r="H13" s="23"/>
      <c r="I13" s="24"/>
      <c r="J13" s="25"/>
    </row>
    <row r="14" spans="1:10" x14ac:dyDescent="0.25">
      <c r="A14" s="22" t="s">
        <v>72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78</v>
      </c>
      <c r="B15" s="23" t="s">
        <v>20</v>
      </c>
      <c r="C15" s="27">
        <v>500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79</v>
      </c>
      <c r="B16" s="23" t="s">
        <v>20</v>
      </c>
      <c r="C16" s="27">
        <v>50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80</v>
      </c>
      <c r="B17" s="23" t="s">
        <v>20</v>
      </c>
      <c r="C17" s="27">
        <v>500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81</v>
      </c>
      <c r="B18" s="23" t="s">
        <v>20</v>
      </c>
      <c r="C18" s="27">
        <v>500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5">
      <c r="A19" s="22" t="s">
        <v>82</v>
      </c>
      <c r="B19" s="23" t="s">
        <v>20</v>
      </c>
      <c r="C19" s="27">
        <v>10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5">
      <c r="A20" s="22" t="s">
        <v>83</v>
      </c>
      <c r="B20" s="23" t="s">
        <v>20</v>
      </c>
      <c r="C20" s="27">
        <v>40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5">
      <c r="A21" s="22" t="s">
        <v>84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5">
      <c r="A22" s="22" t="s">
        <v>21</v>
      </c>
      <c r="B22" s="23" t="s">
        <v>9</v>
      </c>
      <c r="C22" s="27"/>
      <c r="D22" s="23"/>
      <c r="E22" s="23"/>
      <c r="F22" s="23" t="b">
        <v>1</v>
      </c>
      <c r="G22" s="23"/>
      <c r="H22" s="23"/>
      <c r="I22" s="24"/>
      <c r="J22" s="25"/>
    </row>
    <row r="23" spans="1:12" x14ac:dyDescent="0.25">
      <c r="A23" s="22" t="s">
        <v>22</v>
      </c>
      <c r="B23" s="23" t="s">
        <v>20</v>
      </c>
      <c r="C23" s="27">
        <v>32</v>
      </c>
      <c r="D23" s="23"/>
      <c r="E23" s="23"/>
      <c r="F23" s="23" t="b">
        <v>1</v>
      </c>
      <c r="G23" s="23"/>
      <c r="H23" s="23"/>
      <c r="I23" s="24"/>
      <c r="J23" s="25"/>
    </row>
    <row r="24" spans="1:12" x14ac:dyDescent="0.25">
      <c r="A24" s="22" t="s">
        <v>23</v>
      </c>
      <c r="B24" s="23" t="s">
        <v>9</v>
      </c>
      <c r="C24" s="27"/>
      <c r="D24" s="23"/>
      <c r="E24" s="23"/>
      <c r="F24" s="23" t="b">
        <v>1</v>
      </c>
      <c r="G24" s="23"/>
      <c r="H24" s="23"/>
      <c r="I24" s="24"/>
      <c r="J24" s="25"/>
    </row>
    <row r="25" spans="1:12" x14ac:dyDescent="0.25">
      <c r="A25" s="22" t="s">
        <v>24</v>
      </c>
      <c r="B25" s="23" t="s">
        <v>20</v>
      </c>
      <c r="C25" s="27">
        <v>32</v>
      </c>
      <c r="D25" s="23"/>
      <c r="E25" s="23"/>
      <c r="F25" s="23" t="b">
        <v>1</v>
      </c>
      <c r="G25" s="23"/>
      <c r="H25" s="23"/>
      <c r="I25" s="24"/>
      <c r="J25" s="25"/>
    </row>
    <row r="26" spans="1:12" ht="13.8" thickBot="1" x14ac:dyDescent="0.3"/>
    <row r="27" spans="1:12" ht="13.8" thickBot="1" x14ac:dyDescent="0.3">
      <c r="A27" s="45" t="s">
        <v>10</v>
      </c>
      <c r="B27" s="46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5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5" t="str">
        <f>"if exists (select * from dbo.sysobjects where id = object_id(N'[dbo].["&amp;$B$1&amp;"]') and OBJECTPROPERTY(id, N'IsUserTable') = 1)"</f>
        <v>if exists (select * from dbo.sysobjects where id = object_id(N'[dbo].[Product]')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tr">
        <f>"drop table [dbo].["&amp;$B$1&amp;"]"</f>
        <v>drop table [dbo].[Product]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 t="str">
        <f>"CREATE TABLE [dbo].["&amp;$B$1&amp;"] ("</f>
        <v>CREATE TABLE [dbo].[Product]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[ma_quy_trinh_sx] [nvarchar] (40)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[ma_cong_viec] [nvarchar] (40)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[so_thu_tu]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[ma_san_pham] [nvarchar] (100)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[thoi_gian_bat_dau]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[thoi_gian_ket_thuc]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[ma_nhan_vien_quet] [nvarchar] (100)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 DEFAULT ('A'),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10"/>
      <c r="B44" s="5" t="str">
        <f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[ghi_chu] [nvarchar] (1000)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10"/>
      <c r="B45" s="5" t="str">
        <f>"["&amp;A15&amp;"] ["&amp;B15&amp;"]"&amp;IF(H15=TRUE, " IDENTITY (1,1)","")&amp;IF(AND(B15&lt;&gt;"int",B15&lt;&gt;"bigint",B15&lt;&gt;"bit",B15&lt;&gt;"float",B15&lt;&gt;"datetime",B15&lt;&gt;"smalldatetime",B15&lt;&gt;"timestamp",B15&lt;&gt;"xml")," ("&amp;C15&amp;") "," ")&amp;""&amp;IF(F15=FALSE,"NOT NULL","NULL")&amp;IF(G15&lt;&gt;""," DEFAULT ("&amp;G15&amp;")","")&amp;IF(A16&lt;&gt;"",", ", "")</f>
        <v xml:space="preserve">[vi_tri_loi] [nvarchar] (500)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10"/>
      <c r="B46" s="5" t="str">
        <f>"["&amp;A16&amp;"] ["&amp;B16&amp;"]"&amp;IF(H16=TRUE, " IDENTITY (1,1)","")&amp;IF(AND(B16&lt;&gt;"int",B16&lt;&gt;"bigint",B16&lt;&gt;"bit",B16&lt;&gt;"float",B16&lt;&gt;"datetime",B16&lt;&gt;"smalldatetime",B16&lt;&gt;"timestamp",B16&lt;&gt;"xml")," ("&amp;C16&amp;") "," ")&amp;""&amp;IF(F16=FALSE,"NOT NULL","NULL")&amp;IF(G16&lt;&gt;""," DEFAULT ("&amp;G16&amp;")","")&amp;IF(A17&lt;&gt;"",", ", "")</f>
        <v xml:space="preserve">[muc_do_nghiem_trong] [nvarchar] (50)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10"/>
      <c r="B47" s="5" t="str">
        <f>"["&amp;A17&amp;"] ["&amp;B17&amp;"]"&amp;IF(H17=TRUE, " IDENTITY (1,1)","")&amp;IF(AND(B17&lt;&gt;"int",B17&lt;&gt;"bigint",B17&lt;&gt;"bit",B17&lt;&gt;"float",B17&lt;&gt;"datetime",B17&lt;&gt;"smalldatetime",B17&lt;&gt;"timestamp",B17&lt;&gt;"xml")," ("&amp;C17&amp;") "," ")&amp;""&amp;IF(F17=FALSE,"NOT NULL","NULL")&amp;IF(G17&lt;&gt;""," DEFAULT ("&amp;G17&amp;")","")&amp;IF(A18&lt;&gt;"",", ", "")</f>
        <v xml:space="preserve">[hinh_anh_loi] [nvarchar] (500)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10"/>
      <c r="B48" s="5" t="str">
        <f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("&amp;G18&amp;")","")&amp;IF(A19&lt;&gt;"",", ", "")</f>
        <v xml:space="preserve">[mieu_ta_loi] [nvarchar] (500)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10"/>
      <c r="B49" s="5" t="str">
        <f>"["&amp;A19&amp;"] ["&amp;B19&amp;"]"&amp;IF(H19=TRUE, " IDENTITY (1,1)","")&amp;IF(AND(B19&lt;&gt;"int",B19&lt;&gt;"bigint",B19&lt;&gt;"bit",B19&lt;&gt;"float",B19&lt;&gt;"datetime",B19&lt;&gt;"smalldatetime",B19&lt;&gt;"timestamp",B19&lt;&gt;"xml")," ("&amp;C19&amp;") "," ")&amp;""&amp;IF(F19=FALSE,"NOT NULL","NULL")&amp;IF(G19&lt;&gt;""," DEFAULT ("&amp;G19&amp;")","")&amp;IF(A20&lt;&gt;"",", ", "")</f>
        <v xml:space="preserve">[he_so_chat_luong] [nvarchar] (10)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10"/>
      <c r="B50" s="5" t="str">
        <f>"["&amp;A20&amp;"] ["&amp;B20&amp;"]"&amp;IF(H20=TRUE, " IDENTITY (1,1)","")&amp;IF(AND(B20&lt;&gt;"int",B20&lt;&gt;"bigint",B20&lt;&gt;"bit",B20&lt;&gt;"float",B20&lt;&gt;"datetime",B20&lt;&gt;"smalldatetime",B20&lt;&gt;"timestamp",B20&lt;&gt;"xml")," ("&amp;C20&amp;") "," ")&amp;""&amp;IF(F20=FALSE,"NOT NULL","NULL")&amp;IF(G20&lt;&gt;""," DEFAULT ("&amp;G20&amp;")","")&amp;IF(A22&lt;&gt;"",", ", "")</f>
        <v xml:space="preserve">[nhan_vien_qc] [nvarchar] (40)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10"/>
      <c r="B51" s="5" t="str">
        <f>"["&amp;A21&amp;"] ["&amp;B21&amp;"]"&amp;IF(H21=TRUE, " IDENTITY (1,1)","")&amp;IF(AND(B21&lt;&gt;"int",B21&lt;&gt;"bigint",B21&lt;&gt;"bit",B21&lt;&gt;"float",B21&lt;&gt;"datetime",B21&lt;&gt;"smalldatetime",B21&lt;&gt;"timestamp",B21&lt;&gt;"xml")," ("&amp;C21&amp;") "," ")&amp;""&amp;IF(F21=FALSE,"NOT NULL","NULL")&amp;IF(G21&lt;&gt;""," DEFAULT ("&amp;G21&amp;")","")&amp;IF(A23&lt;&gt;"",", ", "")</f>
        <v xml:space="preserve">[ngay_quet_qc]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5">
      <c r="A52" s="10"/>
      <c r="B52" s="5" t="str">
        <f t="shared" ref="B52:B55" si="0">"["&amp;A22&amp;"] ["&amp;B22&amp;"]"&amp;IF(H22=TRUE, " IDENTITY (1,1)","")&amp;IF(AND(B22&lt;&gt;"int",B22&lt;&gt;"bigint",B22&lt;&gt;"bit",B22&lt;&gt;"float",B22&lt;&gt;"datetime",B22&lt;&gt;"smalldatetime",B22&lt;&gt;"timestamp",B22&lt;&gt;"xml")," ("&amp;C22&amp;") "," ")&amp;""&amp;IF(F22=FALSE,"NOT NULL","NULL")&amp;IF(G22&lt;&gt;""," DEFAULT ("&amp;G22&amp;")","")&amp;IF(A24&lt;&gt;"",", ", "")</f>
        <v xml:space="preserve">[ngay_tao]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5">
      <c r="A53" s="10"/>
      <c r="B53" s="5" t="str">
        <f t="shared" si="0"/>
        <v xml:space="preserve">[nguoi_tao] [nvarchar] (32)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5">
      <c r="A54" s="10"/>
      <c r="B54" s="5" t="str">
        <f t="shared" si="0"/>
        <v>[ngay_cap_nhat] [datetime] NULL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5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5">
      <c r="A56" s="9" t="s">
        <v>12</v>
      </c>
      <c r="B56" s="5"/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5">
      <c r="A57" s="9" t="s">
        <v>11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5">
      <c r="A58" s="9"/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5">
      <c r="A59" s="9" t="str">
        <f>"ALTER TABLE [dbo].["&amp;$B$1&amp;"] ADD"</f>
        <v>ALTER TABLE [dbo].[Product] ADD</v>
      </c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5">
      <c r="A60" s="9"/>
      <c r="B60" s="5" t="str">
        <f>"CONSTRAINT [PK_"&amp;$B$1&amp;"] PRIMARY KEY  CLUSTERED"</f>
        <v>CONSTRAINT [PK_Product] PRIMARY KEY  CLUSTERED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5">
      <c r="A61" s="9"/>
      <c r="B61" s="5" t="s">
        <v>13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5">
      <c r="A62" s="9"/>
      <c r="B62" s="5"/>
      <c r="C62" s="5" t="str">
        <f>IF(D4=TRUE, "["&amp;A4&amp;"]"&amp;IF(D5="", "", ", "), "")</f>
        <v>[id]</v>
      </c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5">
      <c r="A63" s="9"/>
      <c r="B63" s="5" t="s">
        <v>14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ht="13.8" thickBot="1" x14ac:dyDescent="0.3">
      <c r="A64" s="11" t="s">
        <v>11</v>
      </c>
      <c r="B64" s="12"/>
      <c r="C64" s="12"/>
      <c r="D64" s="12"/>
      <c r="E64" s="12"/>
      <c r="F64" s="13"/>
      <c r="G64" s="12"/>
      <c r="H64" s="12"/>
      <c r="I64" s="14"/>
      <c r="J64" s="14"/>
      <c r="K64" s="12"/>
      <c r="L64" s="15"/>
    </row>
    <row r="65" spans="1:12" x14ac:dyDescent="0.25">
      <c r="A65" s="2"/>
      <c r="B65" s="2"/>
      <c r="C65" s="2"/>
      <c r="D65" s="2"/>
      <c r="E65" s="2"/>
      <c r="F65" s="3"/>
      <c r="G65" s="2"/>
      <c r="H65" s="2"/>
      <c r="I65" s="4"/>
      <c r="J65" s="4"/>
      <c r="K65" s="2"/>
      <c r="L65" s="2"/>
    </row>
    <row r="66" spans="1:12" x14ac:dyDescent="0.25">
      <c r="C66" t="s">
        <v>26</v>
      </c>
    </row>
    <row r="70" spans="1:12" x14ac:dyDescent="0.25">
      <c r="A70" s="33" t="s">
        <v>27</v>
      </c>
      <c r="B70" s="33" t="str">
        <f>B1</f>
        <v>Product</v>
      </c>
      <c r="C70" s="33"/>
    </row>
    <row r="71" spans="1:12" x14ac:dyDescent="0.25">
      <c r="A71" s="33" t="s">
        <v>28</v>
      </c>
      <c r="B71" s="33"/>
      <c r="C71" s="33"/>
    </row>
    <row r="72" spans="1:12" x14ac:dyDescent="0.25">
      <c r="A72" s="33"/>
      <c r="B72" s="33" t="s">
        <v>29</v>
      </c>
      <c r="C72" s="33"/>
    </row>
    <row r="73" spans="1:12" x14ac:dyDescent="0.25">
      <c r="A73" s="33"/>
      <c r="B73" s="33" t="s">
        <v>30</v>
      </c>
      <c r="C73" s="33"/>
    </row>
    <row r="74" spans="1:12" x14ac:dyDescent="0.25">
      <c r="A74" s="33" t="s">
        <v>31</v>
      </c>
      <c r="B74" s="33" t="str">
        <f>IF(OR($B4="nvarchar",$B4="varchar"),"string",IF($B4="datetime","DateTime",$B4))</f>
        <v>int</v>
      </c>
      <c r="C74" s="33" t="str">
        <f>A4&amp;" "&amp;$C$66</f>
        <v>id  { get; set; }</v>
      </c>
    </row>
    <row r="75" spans="1:12" x14ac:dyDescent="0.25">
      <c r="A75" s="33" t="s">
        <v>31</v>
      </c>
      <c r="B75" s="33" t="str">
        <f>IF(OR($B5="nvarchar",$B5="varchar"),"string",IF($B5="datetime","DateTime",$B5))</f>
        <v>string</v>
      </c>
      <c r="C75" s="33" t="str">
        <f>A5&amp;" "&amp;$C$66</f>
        <v>ma_lenh_sx  { get; set; }</v>
      </c>
    </row>
    <row r="76" spans="1:12" x14ac:dyDescent="0.25">
      <c r="A76" s="33" t="s">
        <v>31</v>
      </c>
      <c r="B76" s="33" t="str">
        <f>IF(OR($B6="nvarchar",$B6="varchar"),"string",IF($B6="datetime","DateTime",$B6))</f>
        <v>string</v>
      </c>
      <c r="C76" s="33" t="str">
        <f>A6&amp;" "&amp;$C$66</f>
        <v>ma_quy_trinh_sx  { get; set; }</v>
      </c>
    </row>
    <row r="77" spans="1:12" x14ac:dyDescent="0.25">
      <c r="A77" s="33" t="s">
        <v>31</v>
      </c>
      <c r="B77" s="33" t="str">
        <f>IF(OR($B7="nvarchar",$B7="varchar"),"string",IF($B7="datetime","DateTime",$B7))</f>
        <v>string</v>
      </c>
      <c r="C77" s="33" t="str">
        <f>A7&amp;" "&amp;$C$66</f>
        <v>ma_cong_viec  { get; set; }</v>
      </c>
    </row>
    <row r="78" spans="1:12" x14ac:dyDescent="0.25">
      <c r="A78" s="33" t="s">
        <v>31</v>
      </c>
      <c r="B78" s="33" t="str">
        <f>IF(OR($B8="nvarchar",$B8="varchar"),"string",IF($B8="datetime","DateTime",$B8))</f>
        <v>int</v>
      </c>
      <c r="C78" s="33" t="str">
        <f>A8&amp;" "&amp;$C$66</f>
        <v>so_thu_tu  { get; set; }</v>
      </c>
    </row>
    <row r="79" spans="1:12" x14ac:dyDescent="0.25">
      <c r="A79" s="33" t="s">
        <v>31</v>
      </c>
      <c r="B79" s="33" t="str">
        <f>IF(OR($B9="nvarchar",$B9="varchar"),"string",IF($B9="datetime","DateTime",$B9))</f>
        <v>string</v>
      </c>
      <c r="C79" s="33" t="str">
        <f>A9&amp;" "&amp;$C$66</f>
        <v>ma_san_pham  { get; set; }</v>
      </c>
    </row>
    <row r="80" spans="1:12" x14ac:dyDescent="0.25">
      <c r="A80" s="33" t="s">
        <v>31</v>
      </c>
      <c r="B80" s="33" t="str">
        <f>IF(OR($B10="nvarchar",$B10="varchar"),"string",IF($B10="datetime","DateTime",$B10))</f>
        <v>DateTime</v>
      </c>
      <c r="C80" s="33" t="str">
        <f>A10&amp;" "&amp;$C$66</f>
        <v>thoi_gian_bat_dau  { get; set; }</v>
      </c>
    </row>
    <row r="81" spans="1:3" x14ac:dyDescent="0.25">
      <c r="A81" s="33" t="s">
        <v>31</v>
      </c>
      <c r="B81" s="33" t="str">
        <f>IF(OR($B11="nvarchar",$B11="varchar"),"string",IF($B11="datetime","DateTime",$B11))</f>
        <v>DateTime</v>
      </c>
      <c r="C81" s="33" t="str">
        <f>A11&amp;" "&amp;$C$66</f>
        <v>thoi_gian_ket_thuc  { get; set; }</v>
      </c>
    </row>
    <row r="82" spans="1:3" x14ac:dyDescent="0.25">
      <c r="A82" s="33" t="s">
        <v>31</v>
      </c>
      <c r="B82" s="33" t="str">
        <f>IF(OR($B12="nvarchar",$B12="varchar"),"string",IF($B12="datetime","DateTime",$B12))</f>
        <v>string</v>
      </c>
      <c r="C82" s="33" t="str">
        <f>A12&amp;" "&amp;$C$66</f>
        <v>ma_nhan_vien_quet  { get; set; }</v>
      </c>
    </row>
    <row r="83" spans="1:3" x14ac:dyDescent="0.25">
      <c r="A83" s="33" t="s">
        <v>31</v>
      </c>
      <c r="B83" s="33" t="str">
        <f>IF(OR($B13="nvarchar",$B13="varchar"),"string",IF($B13="datetime","DateTime",$B13))</f>
        <v>string</v>
      </c>
      <c r="C83" s="33" t="str">
        <f>A13&amp;" "&amp;$C$66</f>
        <v>trang_thai  { get; set; }</v>
      </c>
    </row>
    <row r="84" spans="1:3" x14ac:dyDescent="0.25">
      <c r="A84" s="33" t="s">
        <v>31</v>
      </c>
      <c r="B84" s="33" t="str">
        <f>IF(OR($B14="nvarchar",$B14="varchar"),"string",IF($B14="datetime","DateTime",$B14))</f>
        <v>string</v>
      </c>
      <c r="C84" s="33" t="str">
        <f>A14&amp;" "&amp;$C$66</f>
        <v>ghi_chu  { get; set; }</v>
      </c>
    </row>
    <row r="85" spans="1:3" x14ac:dyDescent="0.25">
      <c r="A85" s="33" t="s">
        <v>31</v>
      </c>
      <c r="B85" s="33" t="str">
        <f>IF(OR($B15="nvarchar",$B15="varchar"),"string",IF($B15="datetime","DateTime",$B15))</f>
        <v>string</v>
      </c>
      <c r="C85" s="33" t="str">
        <f>A15&amp;" "&amp;$C$66</f>
        <v>vi_tri_loi  { get; set; }</v>
      </c>
    </row>
    <row r="86" spans="1:3" x14ac:dyDescent="0.25">
      <c r="A86" s="33" t="s">
        <v>31</v>
      </c>
      <c r="B86" s="33" t="str">
        <f>IF(OR($B16="nvarchar",$B16="varchar"),"string",IF($B16="datetime","DateTime",$B16))</f>
        <v>string</v>
      </c>
      <c r="C86" s="33" t="str">
        <f>A16&amp;" "&amp;$C$66</f>
        <v>muc_do_nghiem_trong  { get; set; }</v>
      </c>
    </row>
    <row r="87" spans="1:3" x14ac:dyDescent="0.25">
      <c r="A87" s="33" t="s">
        <v>31</v>
      </c>
      <c r="B87" s="33" t="str">
        <f>IF(OR($B17="nvarchar",$B17="varchar"),"string",IF($B17="datetime","DateTime",$B17))</f>
        <v>string</v>
      </c>
      <c r="C87" s="33" t="str">
        <f>A17&amp;" "&amp;$C$66</f>
        <v>hinh_anh_loi  { get; set; }</v>
      </c>
    </row>
    <row r="88" spans="1:3" x14ac:dyDescent="0.25">
      <c r="A88" s="33" t="s">
        <v>31</v>
      </c>
      <c r="B88" s="33" t="str">
        <f>IF(OR($B18="nvarchar",$B18="varchar"),"string",IF($B18="datetime","DateTime",$B18))</f>
        <v>string</v>
      </c>
      <c r="C88" s="33" t="str">
        <f>A18&amp;" "&amp;$C$66</f>
        <v>mieu_ta_loi  { get; set; }</v>
      </c>
    </row>
    <row r="89" spans="1:3" x14ac:dyDescent="0.25">
      <c r="A89" s="33" t="s">
        <v>31</v>
      </c>
      <c r="B89" s="33" t="str">
        <f>IF(OR($B19="nvarchar",$B19="varchar"),"string",IF($B19="datetime","DateTime",$B19))</f>
        <v>string</v>
      </c>
      <c r="C89" s="33" t="str">
        <f>A19&amp;" "&amp;$C$66</f>
        <v>he_so_chat_luong  { get; set; }</v>
      </c>
    </row>
    <row r="90" spans="1:3" x14ac:dyDescent="0.25">
      <c r="A90" s="33" t="s">
        <v>31</v>
      </c>
      <c r="B90" s="33" t="str">
        <f t="shared" ref="B90:B95" si="1">IF(OR($B20="nvarchar",$B20="varchar"),"string",IF($B20="datetime","DateTime",$B20))</f>
        <v>string</v>
      </c>
      <c r="C90" s="33" t="str">
        <f t="shared" ref="C90:C95" si="2">A20&amp;" "&amp;$C$66</f>
        <v>nhan_vien_qc  { get; set; }</v>
      </c>
    </row>
    <row r="91" spans="1:3" x14ac:dyDescent="0.25">
      <c r="A91" s="33" t="s">
        <v>31</v>
      </c>
      <c r="B91" s="33" t="str">
        <f t="shared" si="1"/>
        <v>DateTime</v>
      </c>
      <c r="C91" s="33" t="str">
        <f t="shared" si="2"/>
        <v>ngay_quet_qc  { get; set; }</v>
      </c>
    </row>
    <row r="92" spans="1:3" x14ac:dyDescent="0.25">
      <c r="A92" s="33" t="s">
        <v>31</v>
      </c>
      <c r="B92" s="33" t="str">
        <f t="shared" si="1"/>
        <v>DateTime</v>
      </c>
      <c r="C92" s="33" t="str">
        <f t="shared" si="2"/>
        <v>ngay_tao  { get; set; }</v>
      </c>
    </row>
    <row r="93" spans="1:3" x14ac:dyDescent="0.25">
      <c r="A93" s="33" t="s">
        <v>31</v>
      </c>
      <c r="B93" s="33" t="str">
        <f t="shared" si="1"/>
        <v>string</v>
      </c>
      <c r="C93" s="33" t="str">
        <f t="shared" si="2"/>
        <v>nguoi_tao  { get; set; }</v>
      </c>
    </row>
    <row r="94" spans="1:3" x14ac:dyDescent="0.25">
      <c r="A94" s="33" t="s">
        <v>31</v>
      </c>
      <c r="B94" s="33" t="str">
        <f t="shared" si="1"/>
        <v>DateTime</v>
      </c>
      <c r="C94" s="33" t="str">
        <f t="shared" si="2"/>
        <v>ngay_cap_nhat  { get; set; }</v>
      </c>
    </row>
    <row r="95" spans="1:3" x14ac:dyDescent="0.25">
      <c r="A95" s="33" t="s">
        <v>31</v>
      </c>
      <c r="B95" s="33" t="str">
        <f t="shared" si="1"/>
        <v>string</v>
      </c>
      <c r="C95" s="33" t="str">
        <f t="shared" si="2"/>
        <v>nguoi_cap_nhat  { get; set; }</v>
      </c>
    </row>
    <row r="96" spans="1:3" ht="14.4" customHeight="1" x14ac:dyDescent="0.25">
      <c r="A96" s="33" t="s">
        <v>32</v>
      </c>
      <c r="B96" s="33"/>
      <c r="C96" s="33" t="str">
        <f>IF($B27="nvarchar","("&amp;$C$5&amp;")",IF($B27="varchar","("&amp;$C27&amp;")",""))</f>
        <v/>
      </c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  <vt:lpstr>Product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2017-04-21T08:43:47Z</dcterms:modified>
</cp:coreProperties>
</file>