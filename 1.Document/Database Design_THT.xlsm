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1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Lenh_San_Xuat" sheetId="258" r:id="rId7"/>
    <sheet name="Phan_Cong_Nhiem_Vu" sheetId="259" r:id="rId8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C77" i="259" l="1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C68" i="259"/>
  <c r="B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B58" i="259"/>
  <c r="C50" i="259"/>
  <c r="B48" i="259"/>
  <c r="A47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A26" i="259"/>
  <c r="A23" i="259"/>
  <c r="A22" i="259"/>
  <c r="B27" i="258"/>
  <c r="B28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65" i="258"/>
  <c r="B66" i="258"/>
  <c r="B67" i="258"/>
  <c r="B68" i="258"/>
  <c r="B69" i="258"/>
  <c r="B70" i="258"/>
  <c r="B71" i="258"/>
  <c r="B72" i="258"/>
  <c r="B73" i="258"/>
  <c r="B74" i="258"/>
  <c r="B75" i="258"/>
  <c r="C65" i="258"/>
  <c r="C66" i="258"/>
  <c r="C67" i="258"/>
  <c r="C68" i="258"/>
  <c r="C69" i="258"/>
  <c r="C70" i="258"/>
  <c r="C71" i="258"/>
  <c r="C72" i="258"/>
  <c r="C73" i="258"/>
  <c r="C74" i="258"/>
  <c r="C75" i="258"/>
  <c r="B62" i="258"/>
  <c r="C62" i="258"/>
  <c r="B63" i="258"/>
  <c r="C63" i="258"/>
  <c r="B64" i="258"/>
  <c r="C64" i="258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53" i="229"/>
  <c r="C53" i="229"/>
  <c r="B54" i="229"/>
  <c r="C54" i="229"/>
  <c r="B55" i="229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23" i="229"/>
  <c r="B24" i="229"/>
  <c r="B25" i="229"/>
  <c r="B26" i="229"/>
  <c r="B27" i="229"/>
  <c r="B28" i="229"/>
  <c r="B29" i="229"/>
  <c r="B30" i="229"/>
  <c r="B31" i="229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3" i="66" a="1"/>
  <c r="A5" i="66" a="1"/>
  <c r="A17" i="66" a="1"/>
  <c r="A4" i="66" a="1"/>
  <c r="A6" i="66" a="1"/>
  <c r="A8" i="66" a="1"/>
  <c r="A10" i="66" a="1"/>
  <c r="A12" i="66" a="1"/>
  <c r="A14" i="66" a="1"/>
  <c r="A16" i="66" a="1"/>
  <c r="A18" i="66" a="1"/>
  <c r="A7" i="66" a="1"/>
  <c r="A9" i="66" a="1"/>
  <c r="A11" i="66" a="1"/>
  <c r="A13" i="66" a="1"/>
  <c r="A15" i="66" a="1"/>
  <c r="A19" i="66" a="1"/>
  <c r="A19" i="66" l="1"/>
  <c r="A15" i="66"/>
  <c r="A13" i="66"/>
  <c r="A11" i="66"/>
  <c r="A9" i="66"/>
  <c r="A7" i="66"/>
  <c r="A18" i="66"/>
  <c r="A16" i="66"/>
  <c r="A14" i="66"/>
  <c r="A12" i="66"/>
  <c r="A10" i="66"/>
  <c r="A8" i="66"/>
  <c r="A6" i="66"/>
  <c r="A4" i="66"/>
  <c r="A17" i="66"/>
  <c r="A5" i="66"/>
  <c r="A3" i="66"/>
  <c r="B19" i="66"/>
  <c r="B18" i="66"/>
  <c r="B17" i="66"/>
  <c r="B13" i="66" l="1"/>
  <c r="B14" i="66"/>
  <c r="B15" i="66"/>
  <c r="B16" i="66"/>
  <c r="B12" i="66" l="1"/>
  <c r="B11" i="66"/>
  <c r="B8" i="66" l="1"/>
  <c r="C76" i="258"/>
  <c r="C61" i="258"/>
  <c r="B61" i="258"/>
  <c r="B57" i="258"/>
  <c r="C49" i="258"/>
  <c r="B47" i="258"/>
  <c r="A46" i="258"/>
  <c r="B26" i="258"/>
  <c r="A25" i="258"/>
  <c r="A22" i="258"/>
  <c r="A21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2" i="229" l="1"/>
  <c r="B52" i="229"/>
  <c r="B48" i="229"/>
  <c r="C39" i="229"/>
  <c r="C62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0" i="229" l="1"/>
  <c r="C38" i="229"/>
  <c r="B36" i="229"/>
  <c r="A35" i="229"/>
  <c r="B22" i="229"/>
  <c r="A21" i="229"/>
  <c r="A18" i="229"/>
  <c r="A17" i="229"/>
  <c r="A2" i="66" a="1"/>
  <c r="A2" i="66" l="1"/>
  <c r="B2" i="66" s="1"/>
</calcChain>
</file>

<file path=xl/sharedStrings.xml><?xml version="1.0" encoding="utf-8"?>
<sst xmlns="http://schemas.openxmlformats.org/spreadsheetml/2006/main" count="407" uniqueCount="69">
  <si>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</si>
  <si>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</si>
  <si>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</si>
  <si>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</si>
  <si>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</si>
  <si>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</si>
  <si>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</si>
  <si>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</si>
  <si>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</si>
  <si>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</si>
  <si>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</si>
  <si>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</si>
  <si>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</si>
  <si>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</si>
  <si>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</si>
  <si>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</si>
  <si>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</si>
  <si>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</si>
  <si>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</si>
  <si>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</si>
  <si>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</si>
  <si>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</si>
  <si>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</si>
  <si>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</si>
  <si>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</si>
  <si>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</si>
  <si>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</si>
  <si>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</si>
  <si>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</si>
  <si>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</si>
  <si>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</si>
  <si>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</si>
  <si>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</si>
  <si>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</si>
  <si>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</si>
  <si>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</si>
  <si>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</si>
  <si>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Merchant_Product_Property</t>
  </si>
  <si>
    <t>Person</t>
  </si>
  <si>
    <t>phần trăm, tiền</t>
  </si>
  <si>
    <t>so_luong</t>
  </si>
  <si>
    <t>Employee</t>
  </si>
  <si>
    <t>ma_nhan_vien</t>
  </si>
  <si>
    <t>ten_nhan_vien</t>
  </si>
  <si>
    <t>ten_cong_viec</t>
  </si>
  <si>
    <t>ma_cong_viec</t>
  </si>
  <si>
    <t>loai_vong_viec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</si>
  <si>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</si>
  <si>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</si>
  <si>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</si>
  <si>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</si>
  <si>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</si>
  <si>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</si>
  <si>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</si>
  <si>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</si>
  <si>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</si>
  <si>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</si>
  <si>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</si>
  <si>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A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</si>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</sst>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" fillId="0" borderId="0"/>
  </cellStyleXfs>
  <cellXfs count="43">
    <xf numFmtId="0" fontId="0" fillId="0" borderId="0" xfId="0"/>
    <xf numFmtId="0" fontId="0" fillId="2" borderId="0" xfId="0" applyFill="1"/>
    <xf numFmtId="0" fontId="4" fillId="0" borderId="0" xfId="0" applyFont="1"/>
    <xf numFmtId="0" fontId="3" fillId="0" borderId="0" xfId="0" applyFont="1"/>
    <xf numFmtId="49" fontId="3" fillId="0" borderId="0" xfId="0" applyNumberFormat="1" applyFont="1" applyAlignment="1">
      <alignment horizontal="center"/>
    </xf>
    <xf numFmtId="0" fontId="4" fillId="3" borderId="0" xfId="0" applyFont="1" applyFill="1" applyBorder="1"/>
    <xf numFmtId="0" fontId="3" fillId="3" borderId="0" xfId="0" applyFont="1" applyFill="1" applyBorder="1"/>
    <xf numFmtId="49" fontId="3" fillId="3" borderId="0" xfId="0" applyNumberFormat="1" applyFont="1" applyFill="1" applyBorder="1" applyAlignment="1">
      <alignment horizontal="center"/>
    </xf>
    <xf numFmtId="0" fontId="4" fillId="3" borderId="2" xfId="0" applyFont="1" applyFill="1" applyBorder="1"/>
    <xf numFmtId="0" fontId="4" fillId="3" borderId="3" xfId="0" applyFont="1" applyFill="1" applyBorder="1"/>
    <xf numFmtId="0" fontId="4" fillId="3" borderId="3" xfId="0" quotePrefix="1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3" fillId="3" borderId="5" xfId="0" applyFont="1" applyFill="1" applyBorder="1"/>
    <xf numFmtId="49" fontId="3" fillId="3" borderId="5" xfId="0" applyNumberFormat="1" applyFont="1" applyFill="1" applyBorder="1" applyAlignment="1">
      <alignment horizontal="center"/>
    </xf>
    <xf numFmtId="0" fontId="4" fillId="3" borderId="6" xfId="0" applyFont="1" applyFill="1" applyBorder="1"/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/>
    <xf numFmtId="0" fontId="5" fillId="4" borderId="9" xfId="0" applyFont="1" applyFill="1" applyBorder="1"/>
    <xf numFmtId="0" fontId="5" fillId="4" borderId="10" xfId="0" applyFont="1" applyFill="1" applyBorder="1"/>
    <xf numFmtId="0" fontId="5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8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6" fillId="0" borderId="15" xfId="1" applyBorder="1"/>
    <xf numFmtId="0" fontId="0" fillId="7" borderId="15" xfId="0" applyFill="1" applyBorder="1"/>
    <xf numFmtId="0" fontId="7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3" fillId="3" borderId="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38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Lenh_San_Xuat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Phan_Cong_Nhiem_Vu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tabSelected="1" workbookViewId="0">
      <selection activeCell="A5" sqref="A5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2" t="s">
        <v>45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2" t="s">
        <v>44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2" t="s">
        <v>46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2" t="s">
        <v>47</v>
      </c>
      <c r="B8" s="23" t="s">
        <v>48</v>
      </c>
      <c r="C8" s="27">
        <v>512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58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0" t="s">
        <v>10</v>
      </c>
      <c r="B15" s="41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[loai_vong_viec]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[double] (512)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loai_vong_viec  { get; set; }</v>
      </c>
    </row>
    <row r="52" spans="1:3" x14ac:dyDescent="0.25">
      <c r="A52" s="33" t="s">
        <v>31</v>
      </c>
      <c r="B52" s="33" t="str">
        <f t="shared" si="1"/>
        <v>double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2"/>
  <sheetViews>
    <sheetView workbookViewId="0">
      <selection activeCell="A5" sqref="A5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43</v>
      </c>
      <c r="B6" s="23" t="s">
        <v>20</v>
      </c>
      <c r="C6" s="27">
        <v>15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51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52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53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31"/>
      <c r="H10" s="31"/>
      <c r="I10" s="32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24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2" ht="13.8" thickBot="1" x14ac:dyDescent="0.3"/>
    <row r="15" spans="1:12" ht="13.8" thickBot="1" x14ac:dyDescent="0.3">
      <c r="A15" s="40" t="s">
        <v>10</v>
      </c>
      <c r="B15" s="41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[dbo].[Employee]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[dbo].[Employee]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[ten_nhan_vien] [nvarchar] (15)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[birthday]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[mat_khau] [nvarchar] (100)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[loai_nhan_vien] [nvarchar] (50)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[dbo].[Employee]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[PK_Employee]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/>
      <c r="C39" s="5" t="str">
        <f>IF(D5=TRUE, "["&amp;A5&amp;"]"&amp;IF(D6="", "", ", "), "")</f>
        <v/>
      </c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IF(D6=TRUE, "["&amp;A6&amp;"]"&amp;IF(D7="", "", ", "), "")</f>
        <v/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14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ht="13.8" thickBot="1" x14ac:dyDescent="0.3">
      <c r="A42" s="11" t="s">
        <v>11</v>
      </c>
      <c r="B42" s="12"/>
      <c r="C42" s="12"/>
      <c r="D42" s="12"/>
      <c r="E42" s="12"/>
      <c r="F42" s="13"/>
      <c r="G42" s="12"/>
      <c r="H42" s="12"/>
      <c r="I42" s="14"/>
      <c r="J42" s="14"/>
      <c r="K42" s="12"/>
      <c r="L42" s="15"/>
    </row>
    <row r="43" spans="1:12" x14ac:dyDescent="0.25">
      <c r="A43" s="2"/>
      <c r="B43" s="2"/>
      <c r="C43" s="2"/>
      <c r="D43" s="2"/>
      <c r="E43" s="2"/>
      <c r="F43" s="3"/>
      <c r="G43" s="2"/>
      <c r="H43" s="2"/>
      <c r="I43" s="4"/>
      <c r="J43" s="4"/>
      <c r="K43" s="2"/>
      <c r="L43" s="2"/>
    </row>
    <row r="44" spans="1:12" x14ac:dyDescent="0.25">
      <c r="C44" t="s">
        <v>26</v>
      </c>
    </row>
    <row r="48" spans="1:12" x14ac:dyDescent="0.25">
      <c r="A48" s="33" t="s">
        <v>27</v>
      </c>
      <c r="B48" s="33" t="str">
        <f>B1</f>
        <v>Employee</v>
      </c>
      <c r="C48" s="33"/>
    </row>
    <row r="49" spans="1:3" x14ac:dyDescent="0.25">
      <c r="A49" s="33" t="s">
        <v>28</v>
      </c>
      <c r="B49" s="33"/>
      <c r="C49" s="33"/>
    </row>
    <row r="50" spans="1:3" x14ac:dyDescent="0.25">
      <c r="A50" s="33"/>
      <c r="B50" s="33" t="s">
        <v>29</v>
      </c>
      <c r="C50" s="33"/>
    </row>
    <row r="51" spans="1:3" x14ac:dyDescent="0.25">
      <c r="A51" s="33"/>
      <c r="B51" s="33" t="s">
        <v>30</v>
      </c>
      <c r="C51" s="33"/>
    </row>
    <row r="52" spans="1:3" x14ac:dyDescent="0.25">
      <c r="A52" s="33" t="s">
        <v>31</v>
      </c>
      <c r="B52" s="33" t="str">
        <f>IF(OR($B4="nvarchar",$B4="varchar"),"string",IF($B4="datetime","DateTime",$B4))</f>
        <v>int</v>
      </c>
      <c r="C52" s="33" t="str">
        <f>A4&amp;" "&amp;$C$44</f>
        <v>id  { get; set; }</v>
      </c>
    </row>
    <row r="53" spans="1:3" x14ac:dyDescent="0.25">
      <c r="A53" s="33" t="s">
        <v>31</v>
      </c>
      <c r="B53" s="33" t="str">
        <f t="shared" ref="B53:B61" si="1">IF(OR($B5="nvarchar",$B5="varchar"),"string",IF($B5="datetime","DateTime",$B5))</f>
        <v>string</v>
      </c>
      <c r="C53" s="33" t="str">
        <f t="shared" ref="C53:C61" si="2">A5&amp;" "&amp;$C$44</f>
        <v>ma_nhan_vien  { get; set; }</v>
      </c>
    </row>
    <row r="54" spans="1:3" x14ac:dyDescent="0.25">
      <c r="A54" s="33" t="s">
        <v>31</v>
      </c>
      <c r="B54" s="33" t="str">
        <f t="shared" si="1"/>
        <v>string</v>
      </c>
      <c r="C54" s="33" t="str">
        <f t="shared" si="2"/>
        <v>ten_nhan_vien  { get; set; }</v>
      </c>
    </row>
    <row r="55" spans="1:3" x14ac:dyDescent="0.25">
      <c r="A55" s="33" t="s">
        <v>31</v>
      </c>
      <c r="B55" s="33" t="str">
        <f t="shared" si="1"/>
        <v>DateTime</v>
      </c>
      <c r="C55" s="33" t="str">
        <f t="shared" si="2"/>
        <v>birthday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mat_khau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loai_nhan_vien  { get; set; }</v>
      </c>
    </row>
    <row r="58" spans="1:3" x14ac:dyDescent="0.25">
      <c r="A58" s="33" t="s">
        <v>31</v>
      </c>
      <c r="B58" s="33" t="str">
        <f t="shared" si="1"/>
        <v>DateTime</v>
      </c>
      <c r="C58" s="33" t="str">
        <f t="shared" si="2"/>
        <v>ngay_tao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nguoi_tao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 t="shared" si="2"/>
        <v>ngay_cap_nhat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nguoi_cap_nhat  { get; set; }</v>
      </c>
    </row>
    <row r="62" spans="1:3" x14ac:dyDescent="0.25">
      <c r="A62" s="33" t="s">
        <v>32</v>
      </c>
      <c r="B62" s="33"/>
      <c r="C62" s="33" t="str">
        <f>IF($B15="nvarchar","("&amp;$C$5&amp;")",IF($B15="varchar","("&amp;$C15&amp;")",""))</f>
        <v/>
      </c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0" workbookViewId="0">
      <selection activeCell="A45" sqref="A45:C52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50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2" t="s">
        <v>45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0" t="s">
        <v>10</v>
      </c>
      <c r="B13" s="41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A5" sqref="A5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54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55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56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0" t="s">
        <v>10</v>
      </c>
      <c r="B13" s="41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3" zoomScaleNormal="100" workbookViewId="0">
      <selection activeCell="A56" sqref="A56:XFD7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37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55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2" t="s">
        <v>45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2" t="s">
        <v>57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0" t="s">
        <v>10</v>
      </c>
      <c r="B14" s="41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object_id(N'[dbo].[Merchant_Product_Property]')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[dbo].[Merchant_Product_Property]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[dbo].[Merchant_Product_Property]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[dbo].[Merchant_Product_Property]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[PK_Merchant_Product_Property]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Merchant_Product_Property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6"/>
  <sheetViews>
    <sheetView workbookViewId="0">
      <selection sqref="A1:XFD104857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59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60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61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62</v>
      </c>
      <c r="B7" s="23" t="s">
        <v>20</v>
      </c>
      <c r="C7" s="27">
        <v>100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40</v>
      </c>
      <c r="B8" s="23" t="s">
        <v>19</v>
      </c>
      <c r="C8" s="27"/>
      <c r="D8" s="23"/>
      <c r="E8" s="23"/>
      <c r="F8" s="23"/>
      <c r="G8" s="23"/>
      <c r="H8" s="23"/>
      <c r="I8" s="24" t="s">
        <v>39</v>
      </c>
      <c r="J8" s="25"/>
    </row>
    <row r="9" spans="1:10" x14ac:dyDescent="0.25">
      <c r="A9" s="22" t="s">
        <v>55</v>
      </c>
      <c r="B9" s="23" t="s">
        <v>7</v>
      </c>
      <c r="C9" s="27">
        <v>40</v>
      </c>
      <c r="D9" s="23"/>
      <c r="E9" s="23"/>
      <c r="F9" s="23"/>
      <c r="G9" s="23"/>
      <c r="H9" s="23"/>
      <c r="I9" s="24"/>
      <c r="J9" s="25"/>
    </row>
    <row r="10" spans="1:10" x14ac:dyDescent="0.25">
      <c r="A10" s="22" t="s">
        <v>63</v>
      </c>
      <c r="B10" s="23" t="s">
        <v>9</v>
      </c>
      <c r="C10" s="27"/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64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65</v>
      </c>
      <c r="B12" s="23" t="s">
        <v>48</v>
      </c>
      <c r="C12" s="27"/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21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22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23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24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ht="13.8" thickBot="1" x14ac:dyDescent="0.3"/>
    <row r="19" spans="1:12" ht="13.8" thickBot="1" x14ac:dyDescent="0.3">
      <c r="A19" s="40" t="s">
        <v>10</v>
      </c>
      <c r="B19" s="41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5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tr">
        <f>"drop table [dbo].["&amp;$B$1&amp;"]"</f>
        <v>drop table [dbo].[Lenh_San_Xuat]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 t="str">
        <f>"CREATE TABLE [dbo].["&amp;$B$1&amp;"] ("</f>
        <v>CREATE TABLE [dbo].[Lenh_San_Xuat]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[don_vi_mua_hang] [nvarchar] (200)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[ma_san_pham_sx] [nvarchar] (100)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[so_luong] [int]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e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("&amp;G9&amp;")","")&amp;IF(#REF!&lt;&gt;"",", ", "")</f>
        <v>#REF!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("&amp;#REF!&amp;")","")&amp;IF(A10&lt;&gt;"",",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[thoi_gian_du_kien] [datetime]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[ban_ve] [nvarchar] (50)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e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("&amp;G12&amp;")","")&amp;IF(#REF!&lt;&gt;"",", ", "")</f>
        <v>#REF!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("&amp;#REF!&amp;")","")&amp;IF(A13&lt;&gt;"",",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ref="B38:B42" si="0"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[ngay_tao] [datetime]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[nguoi_tao] [nvarchar] (32)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[ngay_cap_nhat]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>[nguoi_cap_nhat] [nvarchar] (32)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 t="str">
        <f>"ALTER TABLE [dbo].["&amp;$B$1&amp;"] ADD"</f>
        <v>ALTER TABLE [dbo].[Lenh_San_Xuat]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/>
      <c r="B47" s="5" t="str">
        <f>"CONSTRAINT [PK_"&amp;$B$1&amp;"] PRIMARY KEY  CLUSTERED"</f>
        <v>CONSTRAINT [PK_Lenh_San_Xuat]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/>
      <c r="C49" s="5" t="str">
        <f>IF(D4=TRUE, "["&amp;A4&amp;"]"&amp;IF(D5="", "", ", "), "")</f>
        <v>[id]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 t="s">
        <v>14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ht="13.8" thickBot="1" x14ac:dyDescent="0.3">
      <c r="A51" s="11" t="s">
        <v>11</v>
      </c>
      <c r="B51" s="12"/>
      <c r="C51" s="12"/>
      <c r="D51" s="12"/>
      <c r="E51" s="12"/>
      <c r="F51" s="13"/>
      <c r="G51" s="12"/>
      <c r="H51" s="12"/>
      <c r="I51" s="14"/>
      <c r="J51" s="14"/>
      <c r="K51" s="12"/>
      <c r="L51" s="15"/>
    </row>
    <row r="52" spans="1:12" x14ac:dyDescent="0.25">
      <c r="A52" s="2"/>
      <c r="B52" s="2"/>
      <c r="C52" s="2"/>
      <c r="D52" s="2"/>
      <c r="E52" s="2"/>
      <c r="F52" s="3"/>
      <c r="G52" s="2"/>
      <c r="H52" s="2"/>
      <c r="I52" s="4"/>
      <c r="J52" s="4"/>
      <c r="K52" s="2"/>
      <c r="L52" s="2"/>
    </row>
    <row r="53" spans="1:12" x14ac:dyDescent="0.25">
      <c r="C53" t="s">
        <v>26</v>
      </c>
    </row>
    <row r="57" spans="1:12" x14ac:dyDescent="0.25">
      <c r="A57" s="33" t="s">
        <v>27</v>
      </c>
      <c r="B57" s="33" t="str">
        <f>B1</f>
        <v>Lenh_San_Xuat</v>
      </c>
      <c r="C57" s="33"/>
    </row>
    <row r="58" spans="1:12" x14ac:dyDescent="0.25">
      <c r="A58" s="33" t="s">
        <v>28</v>
      </c>
      <c r="B58" s="33"/>
      <c r="C58" s="33"/>
    </row>
    <row r="59" spans="1:12" x14ac:dyDescent="0.25">
      <c r="A59" s="33"/>
      <c r="B59" s="33" t="s">
        <v>29</v>
      </c>
      <c r="C59" s="33"/>
    </row>
    <row r="60" spans="1:12" x14ac:dyDescent="0.25">
      <c r="A60" s="33"/>
      <c r="B60" s="33" t="s">
        <v>30</v>
      </c>
      <c r="C60" s="33"/>
    </row>
    <row r="61" spans="1:12" x14ac:dyDescent="0.25">
      <c r="A61" s="33" t="s">
        <v>31</v>
      </c>
      <c r="B61" s="33" t="str">
        <f>IF(OR($B4="nvarchar",$B4="varchar"),"string",IF($B4="datetime","DateTime",$B4))</f>
        <v>int</v>
      </c>
      <c r="C61" s="33" t="str">
        <f>A4&amp;" "&amp;$C$53</f>
        <v>id  { get; set; }</v>
      </c>
    </row>
    <row r="62" spans="1:12" x14ac:dyDescent="0.25">
      <c r="A62" s="33" t="s">
        <v>31</v>
      </c>
      <c r="B62" s="33" t="str">
        <f>IF(OR($B5="nvarchar",$B5="varchar"),"string",IF($B5="datetime","DateTime",$B5))</f>
        <v>string</v>
      </c>
      <c r="C62" s="33" t="str">
        <f>A5&amp;" "&amp;$C$53</f>
        <v>ma_lenh_sx  { get; set; }</v>
      </c>
    </row>
    <row r="63" spans="1:12" x14ac:dyDescent="0.25">
      <c r="A63" s="33" t="s">
        <v>31</v>
      </c>
      <c r="B63" s="33" t="str">
        <f>IF(OR($B6="nvarchar",$B6="varchar"),"string",IF($B6="datetime","DateTime",$B6))</f>
        <v>string</v>
      </c>
      <c r="C63" s="33" t="str">
        <f>A6&amp;" "&amp;$C$53</f>
        <v>don_vi_mua_hang  { get; set; }</v>
      </c>
    </row>
    <row r="64" spans="1:12" x14ac:dyDescent="0.25">
      <c r="A64" s="33" t="s">
        <v>31</v>
      </c>
      <c r="B64" s="33" t="str">
        <f>IF(OR($B7="nvarchar",$B7="varchar"),"string",IF($B7="datetime","DateTime",$B7))</f>
        <v>string</v>
      </c>
      <c r="C64" s="33" t="str">
        <f>A7&amp;" "&amp;$C$53</f>
        <v>ma_san_pham_sx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int</v>
      </c>
      <c r="C65" s="33" t="str">
        <f>A8&amp;" "&amp;$C$53</f>
        <v>so_luong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string</v>
      </c>
      <c r="C66" s="33" t="str">
        <f>A9&amp;" "&amp;$C$53</f>
        <v>ma_quy_trinh_sx  { get; set; }</v>
      </c>
    </row>
    <row r="67" spans="1:3" x14ac:dyDescent="0.25">
      <c r="A67" s="33" t="s">
        <v>31</v>
      </c>
      <c r="B67" s="33" t="e">
        <f>IF(OR(#REF!="nvarchar",#REF!="varchar"),"string",IF(#REF!="datetime","DateTime",#REF!))</f>
        <v>#REF!</v>
      </c>
      <c r="C67" s="33" t="e">
        <f>#REF!&amp;" "&amp;$C$53</f>
        <v>#REF!</v>
      </c>
    </row>
    <row r="68" spans="1:3" x14ac:dyDescent="0.25">
      <c r="A68" s="33" t="s">
        <v>31</v>
      </c>
      <c r="B68" s="33" t="str">
        <f>IF(OR($B10="nvarchar",$B10="varchar"),"string",IF($B10="datetime","DateTime",$B10))</f>
        <v>DateTime</v>
      </c>
      <c r="C68" s="33" t="str">
        <f>A10&amp;" "&amp;$C$53</f>
        <v>thoi_gian_du_kien  { get; set; }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string</v>
      </c>
      <c r="C69" s="33" t="str">
        <f>A11&amp;" "&amp;$C$53</f>
        <v>ban_ve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double</v>
      </c>
      <c r="C70" s="33" t="str">
        <f>A12&amp;" "&amp;$C$53</f>
        <v>khoi_luong  { get; set; }</v>
      </c>
    </row>
    <row r="71" spans="1:3" x14ac:dyDescent="0.25">
      <c r="A71" s="33" t="s">
        <v>31</v>
      </c>
      <c r="B71" s="33" t="str">
        <f t="shared" ref="B71:B75" si="1">IF(OR($B13="nvarchar",$B13="varchar"),"string",IF($B13="datetime","DateTime",$B13))</f>
        <v>string</v>
      </c>
      <c r="C71" s="33" t="str">
        <f>A13&amp;" "&amp;$C$53</f>
        <v>trang_thai  { get; set; }</v>
      </c>
    </row>
    <row r="72" spans="1:3" x14ac:dyDescent="0.25">
      <c r="A72" s="33" t="s">
        <v>31</v>
      </c>
      <c r="B72" s="33" t="str">
        <f t="shared" si="1"/>
        <v>DateTime</v>
      </c>
      <c r="C72" s="33" t="str">
        <f>A14&amp;" "&amp;$C$53</f>
        <v>ngay_tao  { get; set; }</v>
      </c>
    </row>
    <row r="73" spans="1:3" x14ac:dyDescent="0.25">
      <c r="A73" s="33" t="s">
        <v>31</v>
      </c>
      <c r="B73" s="33" t="str">
        <f t="shared" si="1"/>
        <v>string</v>
      </c>
      <c r="C73" s="33" t="str">
        <f>A15&amp;" "&amp;$C$53</f>
        <v>nguoi_tao  { get; set; }</v>
      </c>
    </row>
    <row r="74" spans="1:3" x14ac:dyDescent="0.25">
      <c r="A74" s="33" t="s">
        <v>31</v>
      </c>
      <c r="B74" s="33" t="str">
        <f t="shared" si="1"/>
        <v>DateTime</v>
      </c>
      <c r="C74" s="33" t="str">
        <f>A16&amp;" "&amp;$C$53</f>
        <v>ngay_cap_nhat  { get; set; }</v>
      </c>
    </row>
    <row r="75" spans="1:3" x14ac:dyDescent="0.25">
      <c r="A75" s="33" t="s">
        <v>31</v>
      </c>
      <c r="B75" s="33" t="str">
        <f t="shared" si="1"/>
        <v>string</v>
      </c>
      <c r="C75" s="33" t="str">
        <f>A17&amp;" "&amp;$C$53</f>
        <v>nguoi_cap_nhat  { get; set; }</v>
      </c>
    </row>
    <row r="76" spans="1:3" ht="14.4" customHeight="1" x14ac:dyDescent="0.25">
      <c r="A76" s="33" t="s">
        <v>32</v>
      </c>
      <c r="B76" s="33"/>
      <c r="C76" s="33" t="str">
        <f>IF($B19="nvarchar","("&amp;$C$5&amp;")",IF($B19="varchar","("&amp;$C19&amp;")",""))</f>
        <v/>
      </c>
    </row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workbookViewId="0">
      <selection activeCell="A11" sqref="A11:XFD14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60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34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2" t="s">
        <v>45</v>
      </c>
      <c r="B7" s="23" t="s">
        <v>7</v>
      </c>
      <c r="C7" s="27">
        <v>40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42</v>
      </c>
      <c r="B8" s="23" t="s">
        <v>7</v>
      </c>
      <c r="C8" s="27">
        <v>100</v>
      </c>
      <c r="D8" s="23"/>
      <c r="E8" s="23"/>
      <c r="F8" s="23"/>
      <c r="G8" s="23"/>
      <c r="H8" s="23"/>
      <c r="I8" s="24"/>
      <c r="J8" s="25"/>
    </row>
    <row r="9" spans="1:10" x14ac:dyDescent="0.25">
      <c r="A9" s="22" t="s">
        <v>68</v>
      </c>
      <c r="B9" s="23" t="s">
        <v>9</v>
      </c>
      <c r="C9" s="27"/>
      <c r="D9" s="23"/>
      <c r="E9" s="23"/>
      <c r="F9" s="23"/>
      <c r="G9" s="23"/>
      <c r="H9" s="23"/>
      <c r="I9" s="24" t="s">
        <v>39</v>
      </c>
      <c r="J9" s="25"/>
    </row>
    <row r="10" spans="1:10" x14ac:dyDescent="0.25">
      <c r="A10" s="22" t="s">
        <v>66</v>
      </c>
      <c r="B10" s="23" t="s">
        <v>9</v>
      </c>
      <c r="C10" s="27">
        <v>40</v>
      </c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63</v>
      </c>
      <c r="B11" s="23" t="s">
        <v>9</v>
      </c>
      <c r="C11" s="27"/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64</v>
      </c>
      <c r="B12" s="23" t="s">
        <v>20</v>
      </c>
      <c r="C12" s="27">
        <v>50</v>
      </c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65</v>
      </c>
      <c r="B13" s="23" t="s">
        <v>48</v>
      </c>
      <c r="C13" s="27"/>
      <c r="D13" s="23"/>
      <c r="E13" s="23"/>
      <c r="F13" s="23"/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0" t="s">
        <v>10</v>
      </c>
      <c r="B20" s="41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[dbo].[Phan_Cong_Nhiem_Vu]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[dbo].[Phan_Cong_Nhiem_Vu]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("&amp;G6&amp;")","")&amp;IF(A8&lt;&gt;"",", ", "")</f>
        <v xml:space="preserve">[ma_san_pham]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[thoi_gian_bat_dau]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("&amp;G10&amp;")","")&amp;IF(#REF!&lt;&gt;"",",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("&amp;#REF!&amp;")","")&amp;IF(A11&lt;&gt;"",",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[thoi_gian_du_kien]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[ban_ve] [nvarchar]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("&amp;#REF!&amp;")","")&amp;IF(A14&lt;&gt;"",", ", "")</f>
        <v>#REF!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ref="B39:B43" si="0"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[trang_thai] [varchar]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[dbo].[Phan_Cong_Nhiem_Vu]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[PK_Phan_Cong_Nhiem_Vu]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Phan_Cong_Nhiem_Vu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>IF(OR($B5="nvarchar",$B5="varchar"),"string",IF($B5="datetime","DateTime",$B5))</f>
        <v>string</v>
      </c>
      <c r="C63" s="33" t="str">
        <f>A5&amp;" "&amp;$C$54</f>
        <v>ma_lenh_sx  { get; set; }</v>
      </c>
    </row>
    <row r="64" spans="1:12" x14ac:dyDescent="0.25">
      <c r="A64" s="33" t="s">
        <v>31</v>
      </c>
      <c r="B64" s="33" t="str">
        <f>IF(OR($B6="nvarchar",$B6="varchar"),"string",IF($B6="datetime","DateTime",$B6))</f>
        <v>string</v>
      </c>
      <c r="C64" s="33" t="str">
        <f>A6&amp;" "&amp;$C$54</f>
        <v>ma_san_pham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string</v>
      </c>
      <c r="C65" s="33" t="str">
        <f>A8&amp;" "&amp;$C$54</f>
        <v>ma_nhan_vien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DateTime</v>
      </c>
      <c r="C66" s="33" t="str">
        <f>A9&amp;" "&amp;$C$54</f>
        <v>thoi_gian_bat_dau  { get; set; }</v>
      </c>
    </row>
    <row r="67" spans="1:3" x14ac:dyDescent="0.25">
      <c r="A67" s="33" t="s">
        <v>31</v>
      </c>
      <c r="B67" s="33" t="str">
        <f>IF(OR($B10="nvarchar",$B10="varchar"),"string",IF($B10="datetime","DateTime",$B10))</f>
        <v>DateTime</v>
      </c>
      <c r="C67" s="33" t="str">
        <f>A10&amp;" "&amp;$C$54</f>
        <v>thoi_gian_ket_thuc  { get; set; }</v>
      </c>
    </row>
    <row r="68" spans="1:3" x14ac:dyDescent="0.25">
      <c r="A68" s="33" t="s">
        <v>31</v>
      </c>
      <c r="B68" s="33" t="e">
        <f>IF(OR(#REF!="nvarchar",#REF!="varchar"),"string",IF(#REF!="datetime","DateTime",#REF!))</f>
        <v>#REF!</v>
      </c>
      <c r="C68" s="33" t="e">
        <f>#REF!&amp;" "&amp;$C$54</f>
        <v>#REF!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DateTime</v>
      </c>
      <c r="C69" s="33" t="str">
        <f>A11&amp;" "&amp;$C$54</f>
        <v>thoi_gian_du_kien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string</v>
      </c>
      <c r="C70" s="33" t="str">
        <f>A12&amp;" "&amp;$C$54</f>
        <v>ban_ve  { get; set; }</v>
      </c>
    </row>
    <row r="71" spans="1:3" x14ac:dyDescent="0.25">
      <c r="A71" s="33" t="s">
        <v>31</v>
      </c>
      <c r="B71" s="33" t="str">
        <f>IF(OR($B13="nvarchar",$B13="varchar"),"string",IF($B13="datetime","DateTime",$B13))</f>
        <v>double</v>
      </c>
      <c r="C71" s="33" t="str">
        <f>A13&amp;" "&amp;$C$54</f>
        <v>khoi_luong  { get; set; }</v>
      </c>
    </row>
    <row r="72" spans="1:3" x14ac:dyDescent="0.25">
      <c r="A72" s="33" t="s">
        <v>31</v>
      </c>
      <c r="B72" s="33" t="str">
        <f t="shared" ref="B72:B76" si="1">IF(OR($B14="nvarchar",$B14="varchar"),"string",IF($B14="datetime","DateTime",$B14))</f>
        <v>string</v>
      </c>
      <c r="C72" s="33" t="str">
        <f>A14&amp;" "&amp;$C$54</f>
        <v>trang_thai  { get; set; }</v>
      </c>
    </row>
    <row r="73" spans="1:3" x14ac:dyDescent="0.25">
      <c r="A73" s="33" t="s">
        <v>31</v>
      </c>
      <c r="B73" s="33" t="str">
        <f t="shared" si="1"/>
        <v>DateTime</v>
      </c>
      <c r="C73" s="33" t="str">
        <f>A15&amp;" "&amp;$C$54</f>
        <v>ngay_tao  { get; set; }</v>
      </c>
    </row>
    <row r="74" spans="1:3" x14ac:dyDescent="0.25">
      <c r="A74" s="33" t="s">
        <v>31</v>
      </c>
      <c r="B74" s="33" t="str">
        <f t="shared" si="1"/>
        <v>string</v>
      </c>
      <c r="C74" s="33" t="str">
        <f>A16&amp;" "&amp;$C$54</f>
        <v>nguoi_tao  { get; set; }</v>
      </c>
    </row>
    <row r="75" spans="1:3" x14ac:dyDescent="0.25">
      <c r="A75" s="33" t="s">
        <v>31</v>
      </c>
      <c r="B75" s="33" t="str">
        <f t="shared" si="1"/>
        <v>DateTime</v>
      </c>
      <c r="C75" s="33" t="str">
        <f>A17&amp;" "&amp;$C$54</f>
        <v>ngay_cap_nhat  { get; set; }</v>
      </c>
    </row>
    <row r="76" spans="1:3" x14ac:dyDescent="0.25">
      <c r="A76" s="33" t="s">
        <v>31</v>
      </c>
      <c r="B76" s="33" t="str">
        <f t="shared" si="1"/>
        <v>string</v>
      </c>
      <c r="C76" s="33" t="str">
        <f>A18&amp;" "&amp;$C$54</f>
        <v>nguoi_cap_nhat  { get; set; }</v>
      </c>
    </row>
    <row r="77" spans="1:3" ht="14.4" customHeight="1" x14ac:dyDescent="0.25">
      <c r="A77" s="33" t="s">
        <v>32</v>
      </c>
      <c r="B77" s="33"/>
      <c r="C77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 List</vt:lpstr>
      <vt:lpstr>Jobs</vt:lpstr>
      <vt:lpstr>Employee</vt:lpstr>
      <vt:lpstr>Employee_Job</vt:lpstr>
      <vt:lpstr>Process_Production</vt:lpstr>
      <vt:lpstr>Process_Production_Job</vt:lpstr>
      <vt:lpstr>Lenh_San_Xuat</vt:lpstr>
      <vt:lpstr>Phan_Cong_Nhiem_Vu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2017-03-29T16:08:22Z</dcterms:modified>
</cp:coreProperties>
</file>