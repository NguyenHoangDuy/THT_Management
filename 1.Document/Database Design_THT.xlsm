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20376" windowHeight="7080" tabRatio="991" activeTab="8"/>
  </bookViews>
  <sheets>
    <sheet name="Sheet List" sheetId="66" r:id="rId1"/>
    <sheet name="Jobs" sheetId="232" r:id="rId2"/>
    <sheet name="Employee" sheetId="229" r:id="rId3"/>
    <sheet name="Employee_Job" sheetId="237" r:id="rId4"/>
    <sheet name="Process_Production" sheetId="257" r:id="rId5"/>
    <sheet name="Process_Production_Job" sheetId="231" r:id="rId6"/>
    <sheet name="Working_Time" sheetId="260" r:id="rId7"/>
    <sheet name="Check_In" sheetId="261" r:id="rId8"/>
    <sheet name="Lenh_San_Xuat" sheetId="258" r:id="rId9"/>
    <sheet name="Phan_Cong_Nhiem_Vu" sheetId="259" r:id="rId10"/>
    <sheet name="PCNV_Employee" sheetId="265" r:id="rId11"/>
    <sheet name="Product" sheetId="262" r:id="rId12"/>
  </sheets>
  <definedNames>
    <definedName name="Sheets">TRANSPOSE(GET.WORKBOOK(1))&amp;T(NOW())</definedName>
  </definedNames>
  <calcPr calcId="162913"/>
</workbook>
</file>

<file path=xl/calcChain.xml><?xml version="1.0" encoding="utf-8"?>
<calcChain xmlns="http://schemas.openxmlformats.org/spreadsheetml/2006/main">
  <c r="B65" i="258" l="1"/>
  <c r="C65" i="258"/>
  <c r="B66" i="258"/>
  <c r="C66" i="258"/>
  <c r="B67" i="258"/>
  <c r="C67" i="258"/>
  <c r="B68" i="258"/>
  <c r="C68" i="258"/>
  <c r="B69" i="258"/>
  <c r="C69" i="258"/>
  <c r="B70" i="258"/>
  <c r="C70" i="258"/>
  <c r="B71" i="258"/>
  <c r="C71" i="258"/>
  <c r="B72" i="258"/>
  <c r="C72" i="258"/>
  <c r="B73" i="258"/>
  <c r="C73" i="258"/>
  <c r="B74" i="258"/>
  <c r="C74" i="258"/>
  <c r="B75" i="258"/>
  <c r="C75" i="258"/>
  <c r="B76" i="258"/>
  <c r="C76" i="258"/>
  <c r="B77" i="258"/>
  <c r="C77" i="258"/>
  <c r="B78" i="258"/>
  <c r="C78" i="258"/>
  <c r="B79" i="258"/>
  <c r="C79" i="258"/>
  <c r="B80" i="258"/>
  <c r="C80" i="258"/>
  <c r="B30" i="258"/>
  <c r="B31" i="258"/>
  <c r="B32" i="258"/>
  <c r="B33" i="258"/>
  <c r="B34" i="258"/>
  <c r="B35" i="258"/>
  <c r="B36" i="258"/>
  <c r="B37" i="258"/>
  <c r="B38" i="258"/>
  <c r="B39" i="258"/>
  <c r="B40" i="258"/>
  <c r="B41" i="258"/>
  <c r="B42" i="258"/>
  <c r="B43" i="258"/>
  <c r="B44" i="258"/>
  <c r="B45" i="258"/>
  <c r="B57" i="265"/>
  <c r="C57" i="265"/>
  <c r="B58" i="265"/>
  <c r="C58" i="265"/>
  <c r="B59" i="265"/>
  <c r="C59" i="265"/>
  <c r="B60" i="265"/>
  <c r="C60" i="265"/>
  <c r="B61" i="265"/>
  <c r="C61" i="265"/>
  <c r="B62" i="265"/>
  <c r="C62" i="265"/>
  <c r="B63" i="265"/>
  <c r="C63" i="265"/>
  <c r="B64" i="265"/>
  <c r="C64" i="265"/>
  <c r="B65" i="265"/>
  <c r="C65" i="265"/>
  <c r="B66" i="265"/>
  <c r="C66" i="265"/>
  <c r="B67" i="265"/>
  <c r="C67" i="265"/>
  <c r="B68" i="265"/>
  <c r="C68" i="265"/>
  <c r="B26" i="265"/>
  <c r="B27" i="265"/>
  <c r="B28" i="265"/>
  <c r="B29" i="265"/>
  <c r="B30" i="265"/>
  <c r="B31" i="265"/>
  <c r="B32" i="265"/>
  <c r="B33" i="265"/>
  <c r="B34" i="265"/>
  <c r="B35" i="265"/>
  <c r="B36" i="265"/>
  <c r="B37" i="265"/>
  <c r="B55" i="259"/>
  <c r="C55" i="259"/>
  <c r="B56" i="259"/>
  <c r="C56" i="259"/>
  <c r="B57" i="259"/>
  <c r="C57" i="259"/>
  <c r="B58" i="259"/>
  <c r="C58" i="259"/>
  <c r="B59" i="259"/>
  <c r="C59" i="259"/>
  <c r="B60" i="259"/>
  <c r="C60" i="259"/>
  <c r="B61" i="259"/>
  <c r="C61" i="259"/>
  <c r="B62" i="259"/>
  <c r="C62" i="259"/>
  <c r="B63" i="259"/>
  <c r="C63" i="259"/>
  <c r="B64" i="259"/>
  <c r="C64" i="259"/>
  <c r="B65" i="259"/>
  <c r="C65" i="259"/>
  <c r="B25" i="259"/>
  <c r="B26" i="259"/>
  <c r="B27" i="259"/>
  <c r="B28" i="259"/>
  <c r="B29" i="259"/>
  <c r="B30" i="259"/>
  <c r="B31" i="259"/>
  <c r="B32" i="259"/>
  <c r="B33" i="259"/>
  <c r="B34" i="259"/>
  <c r="B35" i="259"/>
  <c r="C69" i="265"/>
  <c r="C56" i="265"/>
  <c r="B56" i="265"/>
  <c r="B52" i="265"/>
  <c r="C44" i="265"/>
  <c r="B42" i="265"/>
  <c r="A41" i="265"/>
  <c r="B25" i="265"/>
  <c r="A24" i="265"/>
  <c r="A21" i="265"/>
  <c r="A20" i="265"/>
  <c r="B90" i="262" l="1"/>
  <c r="C90" i="262"/>
  <c r="B91" i="262"/>
  <c r="C91" i="262"/>
  <c r="B92" i="262"/>
  <c r="C92" i="262"/>
  <c r="B93" i="262"/>
  <c r="C93" i="262"/>
  <c r="B94" i="262"/>
  <c r="C94" i="262"/>
  <c r="B95" i="262"/>
  <c r="C95" i="262"/>
  <c r="B52" i="262"/>
  <c r="B53" i="262"/>
  <c r="B54" i="262"/>
  <c r="B55" i="262"/>
  <c r="B51" i="262"/>
  <c r="B75" i="262"/>
  <c r="C75" i="262"/>
  <c r="B76" i="262"/>
  <c r="C76" i="262"/>
  <c r="B77" i="262"/>
  <c r="C77" i="262"/>
  <c r="B78" i="262"/>
  <c r="C78" i="262"/>
  <c r="B79" i="262"/>
  <c r="C79" i="262"/>
  <c r="B80" i="262"/>
  <c r="C80" i="262"/>
  <c r="B81" i="262"/>
  <c r="C81" i="262"/>
  <c r="B82" i="262"/>
  <c r="C82" i="262"/>
  <c r="B83" i="262"/>
  <c r="C83" i="262"/>
  <c r="B84" i="262"/>
  <c r="C84" i="262"/>
  <c r="B85" i="262"/>
  <c r="C85" i="262"/>
  <c r="B86" i="262"/>
  <c r="C86" i="262"/>
  <c r="B87" i="262"/>
  <c r="C87" i="262"/>
  <c r="B88" i="262"/>
  <c r="C88" i="262"/>
  <c r="B89" i="262"/>
  <c r="C89" i="262"/>
  <c r="B35" i="262"/>
  <c r="B36" i="262"/>
  <c r="B37" i="262"/>
  <c r="B38" i="262"/>
  <c r="B39" i="262"/>
  <c r="B40" i="262"/>
  <c r="B41" i="262"/>
  <c r="B42" i="262"/>
  <c r="B43" i="262"/>
  <c r="B44" i="262"/>
  <c r="B45" i="262"/>
  <c r="B46" i="262"/>
  <c r="B47" i="262"/>
  <c r="B48" i="262"/>
  <c r="B49" i="262"/>
  <c r="B50" i="262"/>
  <c r="C96" i="262"/>
  <c r="C74" i="262"/>
  <c r="B74" i="262"/>
  <c r="B70" i="262"/>
  <c r="C62" i="262"/>
  <c r="B60" i="262"/>
  <c r="A59" i="262"/>
  <c r="B34" i="262"/>
  <c r="A33" i="262"/>
  <c r="A30" i="262"/>
  <c r="A29" i="262"/>
  <c r="C49" i="261" l="1"/>
  <c r="B49" i="261"/>
  <c r="C48" i="261"/>
  <c r="B48" i="261"/>
  <c r="C47" i="261"/>
  <c r="B47" i="261"/>
  <c r="C46" i="261"/>
  <c r="B46" i="261"/>
  <c r="C45" i="261"/>
  <c r="B45" i="261"/>
  <c r="C44" i="261"/>
  <c r="B44" i="261"/>
  <c r="C43" i="261"/>
  <c r="B43" i="261"/>
  <c r="C42" i="261"/>
  <c r="B42" i="261"/>
  <c r="B38" i="261"/>
  <c r="C34" i="261"/>
  <c r="B32" i="261"/>
  <c r="A31" i="261"/>
  <c r="B27" i="261"/>
  <c r="B26" i="261"/>
  <c r="B25" i="261"/>
  <c r="B24" i="261"/>
  <c r="B23" i="261"/>
  <c r="B22" i="261"/>
  <c r="B21" i="261"/>
  <c r="B20" i="261"/>
  <c r="A19" i="261"/>
  <c r="A16" i="261"/>
  <c r="A15" i="261"/>
  <c r="C57" i="260" l="1"/>
  <c r="B57" i="260"/>
  <c r="C56" i="260"/>
  <c r="B56" i="260"/>
  <c r="C55" i="260"/>
  <c r="B55" i="260"/>
  <c r="C54" i="260"/>
  <c r="B54" i="260"/>
  <c r="C53" i="260"/>
  <c r="B53" i="260"/>
  <c r="C52" i="260"/>
  <c r="B52" i="260"/>
  <c r="C51" i="260"/>
  <c r="B51" i="260"/>
  <c r="C50" i="260"/>
  <c r="B50" i="260"/>
  <c r="C49" i="260"/>
  <c r="B49" i="260"/>
  <c r="C48" i="260"/>
  <c r="B48" i="260"/>
  <c r="B44" i="260"/>
  <c r="C38" i="260"/>
  <c r="B36" i="260"/>
  <c r="A35" i="260"/>
  <c r="B31" i="260"/>
  <c r="B30" i="260"/>
  <c r="B29" i="260"/>
  <c r="B28" i="260"/>
  <c r="B27" i="260"/>
  <c r="B26" i="260"/>
  <c r="B25" i="260"/>
  <c r="B24" i="260"/>
  <c r="B23" i="260"/>
  <c r="B22" i="260"/>
  <c r="A21" i="260"/>
  <c r="A18" i="260"/>
  <c r="A17" i="260"/>
  <c r="B55" i="229" l="1"/>
  <c r="C55" i="229"/>
  <c r="B56" i="229"/>
  <c r="C56" i="229"/>
  <c r="B57" i="229"/>
  <c r="C57" i="229"/>
  <c r="B58" i="229"/>
  <c r="C58" i="229"/>
  <c r="B59" i="229"/>
  <c r="C59" i="229"/>
  <c r="B60" i="229"/>
  <c r="C60" i="229"/>
  <c r="B61" i="229"/>
  <c r="C61" i="229"/>
  <c r="B62" i="229"/>
  <c r="C62" i="229"/>
  <c r="B63" i="229"/>
  <c r="C63" i="229"/>
  <c r="B64" i="229"/>
  <c r="C64" i="229"/>
  <c r="B24" i="229"/>
  <c r="B25" i="229"/>
  <c r="B26" i="229"/>
  <c r="B27" i="229"/>
  <c r="B28" i="229"/>
  <c r="B29" i="229"/>
  <c r="B30" i="229"/>
  <c r="B31" i="229"/>
  <c r="B32" i="229"/>
  <c r="B33" i="229"/>
  <c r="C66" i="259" l="1"/>
  <c r="C54" i="259"/>
  <c r="B54" i="259"/>
  <c r="B50" i="259"/>
  <c r="C42" i="259"/>
  <c r="B40" i="259"/>
  <c r="A39" i="259"/>
  <c r="B24" i="259"/>
  <c r="A23" i="259"/>
  <c r="A20" i="259"/>
  <c r="A19" i="259"/>
  <c r="B45" i="231"/>
  <c r="C45" i="231"/>
  <c r="B46" i="231"/>
  <c r="C46" i="231"/>
  <c r="B47" i="231"/>
  <c r="C47" i="231"/>
  <c r="B48" i="231"/>
  <c r="C48" i="231"/>
  <c r="B49" i="231"/>
  <c r="C49" i="231"/>
  <c r="B50" i="231"/>
  <c r="C50" i="231"/>
  <c r="B51" i="231"/>
  <c r="C51" i="231"/>
  <c r="B52" i="231"/>
  <c r="C52" i="231"/>
  <c r="B23" i="232"/>
  <c r="B24" i="232"/>
  <c r="B25" i="232"/>
  <c r="B26" i="232"/>
  <c r="B27" i="232"/>
  <c r="B28" i="232"/>
  <c r="B29" i="232"/>
  <c r="B30" i="232"/>
  <c r="B31" i="232"/>
  <c r="B22" i="231"/>
  <c r="B23" i="231"/>
  <c r="B24" i="231"/>
  <c r="B25" i="231"/>
  <c r="B26" i="231"/>
  <c r="B27" i="231"/>
  <c r="B28" i="231"/>
  <c r="B29" i="231"/>
  <c r="B43" i="257"/>
  <c r="C43" i="257"/>
  <c r="B44" i="257"/>
  <c r="C44" i="257"/>
  <c r="B45" i="257"/>
  <c r="C45" i="257"/>
  <c r="B46" i="257"/>
  <c r="C46" i="257"/>
  <c r="B47" i="257"/>
  <c r="C47" i="257"/>
  <c r="B48" i="257"/>
  <c r="C48" i="257"/>
  <c r="B49" i="257"/>
  <c r="C49" i="257"/>
  <c r="B21" i="257"/>
  <c r="B22" i="257"/>
  <c r="B23" i="257"/>
  <c r="B24" i="257"/>
  <c r="B25" i="257"/>
  <c r="B26" i="257"/>
  <c r="B27" i="257"/>
  <c r="B46" i="237"/>
  <c r="C46" i="237"/>
  <c r="B47" i="237"/>
  <c r="C47" i="237"/>
  <c r="B48" i="237"/>
  <c r="C48" i="237"/>
  <c r="B49" i="237"/>
  <c r="C49" i="237"/>
  <c r="B50" i="237"/>
  <c r="C50" i="237"/>
  <c r="B51" i="237"/>
  <c r="C51" i="237"/>
  <c r="B52" i="237"/>
  <c r="C52" i="237"/>
  <c r="B21" i="237"/>
  <c r="B22" i="237"/>
  <c r="B23" i="237"/>
  <c r="B24" i="237"/>
  <c r="B25" i="237"/>
  <c r="B26" i="237"/>
  <c r="B27" i="237"/>
  <c r="B49" i="232"/>
  <c r="C49" i="232"/>
  <c r="B50" i="232"/>
  <c r="C50" i="232"/>
  <c r="B51" i="232"/>
  <c r="C51" i="232"/>
  <c r="B52" i="232"/>
  <c r="C52" i="232"/>
  <c r="B53" i="232"/>
  <c r="C53" i="232"/>
  <c r="B54" i="232"/>
  <c r="C54" i="232"/>
  <c r="B55" i="232"/>
  <c r="C55" i="232"/>
  <c r="B56" i="232"/>
  <c r="C56" i="232"/>
  <c r="B57" i="232"/>
  <c r="C57" i="232"/>
  <c r="A5" i="66" a="1"/>
  <c r="A19" i="66" a="1"/>
  <c r="A10" i="66" a="1"/>
  <c r="A17" i="66" a="1"/>
  <c r="A8" i="66" a="1"/>
  <c r="A7" i="66" a="1"/>
  <c r="A16" i="66" a="1"/>
  <c r="A13" i="66" a="1"/>
  <c r="A4" i="66" a="1"/>
  <c r="A14" i="66" a="1"/>
  <c r="A11" i="66" a="1"/>
  <c r="A12" i="66" a="1"/>
  <c r="A9" i="66" a="1"/>
  <c r="A3" i="66" a="1"/>
  <c r="A15" i="66" a="1"/>
  <c r="A18" i="66" a="1"/>
  <c r="A6" i="66" a="1"/>
  <c r="A19" i="66" l="1"/>
  <c r="B19" i="66" s="1"/>
  <c r="A15" i="66"/>
  <c r="A13" i="66"/>
  <c r="A11" i="66"/>
  <c r="A9" i="66"/>
  <c r="A7" i="66"/>
  <c r="A18" i="66"/>
  <c r="B18" i="66" s="1"/>
  <c r="A16" i="66"/>
  <c r="A14" i="66"/>
  <c r="A12" i="66"/>
  <c r="A10" i="66"/>
  <c r="A8" i="66"/>
  <c r="A6" i="66"/>
  <c r="A4" i="66"/>
  <c r="A17" i="66"/>
  <c r="B17" i="66" s="1"/>
  <c r="A5" i="66"/>
  <c r="A3" i="66"/>
  <c r="B13" i="66" l="1"/>
  <c r="B14" i="66"/>
  <c r="B15" i="66"/>
  <c r="B16" i="66"/>
  <c r="B12" i="66" l="1"/>
  <c r="B11" i="66"/>
  <c r="B8" i="66" l="1"/>
  <c r="C81" i="258"/>
  <c r="C64" i="258"/>
  <c r="B64" i="258"/>
  <c r="B60" i="258"/>
  <c r="C52" i="258"/>
  <c r="B50" i="258"/>
  <c r="A49" i="258"/>
  <c r="B29" i="258"/>
  <c r="A28" i="258"/>
  <c r="A25" i="258"/>
  <c r="A24" i="258"/>
  <c r="B9" i="66" l="1"/>
  <c r="B10" i="66"/>
  <c r="B6" i="66"/>
  <c r="B4" i="66"/>
  <c r="B7" i="66"/>
  <c r="B5" i="66"/>
  <c r="B3" i="66"/>
  <c r="C42" i="257" l="1"/>
  <c r="B42" i="257"/>
  <c r="B38" i="257"/>
  <c r="C34" i="257"/>
  <c r="B32" i="257"/>
  <c r="A31" i="257"/>
  <c r="B20" i="257"/>
  <c r="A19" i="257"/>
  <c r="A16" i="257"/>
  <c r="A15" i="257"/>
  <c r="C54" i="229" l="1"/>
  <c r="B54" i="229"/>
  <c r="B50" i="229"/>
  <c r="C41" i="229"/>
  <c r="C65" i="229" l="1"/>
  <c r="C45" i="237" l="1"/>
  <c r="B45" i="237"/>
  <c r="B41" i="237"/>
  <c r="C34" i="237"/>
  <c r="B32" i="237"/>
  <c r="A31" i="237"/>
  <c r="B20" i="237"/>
  <c r="A19" i="237"/>
  <c r="A16" i="237"/>
  <c r="A15" i="237"/>
  <c r="C48" i="232" l="1"/>
  <c r="C44" i="231"/>
  <c r="B48" i="232" l="1"/>
  <c r="B44" i="232"/>
  <c r="C38" i="232"/>
  <c r="B36" i="232"/>
  <c r="A35" i="232"/>
  <c r="B22" i="232"/>
  <c r="A21" i="232"/>
  <c r="A18" i="232"/>
  <c r="A17" i="232"/>
  <c r="B44" i="231"/>
  <c r="B40" i="231"/>
  <c r="C36" i="231"/>
  <c r="B34" i="231"/>
  <c r="A33" i="231"/>
  <c r="B21" i="231"/>
  <c r="A20" i="231"/>
  <c r="A17" i="231"/>
  <c r="A16" i="231"/>
  <c r="C42" i="229" l="1"/>
  <c r="C40" i="229"/>
  <c r="B38" i="229"/>
  <c r="A37" i="229"/>
  <c r="B23" i="229"/>
  <c r="A22" i="229"/>
  <c r="A19" i="229"/>
  <c r="A18" i="229"/>
  <c r="A2" i="66" a="1"/>
  <c r="A2" i="66" l="1"/>
  <c r="B2" i="66" s="1"/>
</calcChain>
</file>

<file path=xl/sharedStrings.xml><?xml version="1.0" encoding="utf-8"?>
<sst xmlns="http://schemas.openxmlformats.org/spreadsheetml/2006/main" count="678" uniqueCount="90">
  <si>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</si>
  <si>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</si>
  <si>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</si>
  <si>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</si>
  <si>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</si>
  <si>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</si>
  <si>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</si>
  <si>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</si>
  <si>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</si>
  <si>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</si>
  <si>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</si>
  <si>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GO</t>
  </si>
  <si>
    <t>) ON [PRIMARY]</t>
  </si>
  <si>
    <t>(</t>
  </si>
  <si>
    <t>)  ON [PRIMARY]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</si>
  <si>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</si>
  <si>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</si>
  <si>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</si>
  <si>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</si>
  <si>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</si>
  <si>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</si>
  <si>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</si>
  <si>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</si>
  <si>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</si>
  <si>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</si>
  <si>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</si>
  <si>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</si>
  <si>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</si>
  <si>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</si>
  <si>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</si>
  <si>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</si>
  <si>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</si>
  <si>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</si>
  <si>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</si>
  <si>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ma_san_pham</t>
  </si>
  <si>
    <t>Status</t>
  </si>
  <si>
    <t>Note</t>
  </si>
  <si>
    <t>Person</t>
  </si>
  <si>
    <t>so_luong</t>
  </si>
  <si>
    <t>Employee</t>
  </si>
  <si>
    <t>ma_nhan_vien</t>
  </si>
  <si>
    <t>ten_nhan_vien</t>
  </si>
  <si>
    <t>ten_cong_viec</t>
  </si>
  <si>
    <t>ma_cong_viec</t>
  </si>
  <si>
    <t>dinh_muc_cong_viec</t>
  </si>
  <si>
    <t>double</t>
  </si>
  <si>
    <t>Jobs</t>
  </si>
  <si>
    <t>Employee_Job</t>
  </si>
  <si>
    <t>birthday</t>
  </si>
  <si>
    <t>mat_khau</t>
  </si>
  <si>
    <t>loai_nhan_vien</t>
  </si>
  <si>
    <t>Process_Production</t>
  </si>
  <si>
    <t>ma_quy_trinh_sx</t>
  </si>
  <si>
    <t>ten_quy_trinh_sx</t>
  </si>
  <si>
    <t>so_thu_tu</t>
  </si>
  <si>
    <t>Lenh_San_Xuat</t>
  </si>
  <si>
    <t>ma_lenh_sx</t>
  </si>
  <si>
    <t>don_vi_mua_hang</t>
  </si>
  <si>
    <t>ma_san_pham_sx</t>
  </si>
  <si>
    <t>thoi_gian_du_kien</t>
  </si>
  <si>
    <t>ban_ve</t>
  </si>
  <si>
    <t>khoi_luong</t>
  </si>
  <si>
    <t>thoi_gian_ket_thuc</t>
  </si>
  <si>
    <t>Phan_Cong_Nhiem_Vu</t>
  </si>
  <si>
    <t>thoi_gian_bat_dau</t>
  </si>
  <si>
    <t>Process_Production_Job</t>
  </si>
  <si>
    <t>loai_cong_viec</t>
  </si>
  <si>
    <t>float</t>
  </si>
  <si>
    <t>'A'</t>
  </si>
  <si>
    <t>Working_Time</t>
  </si>
  <si>
    <t>ma_ca_lam_viec</t>
  </si>
  <si>
    <t>ten_ca_lam_viec</t>
  </si>
  <si>
    <t>ghi_chu</t>
  </si>
  <si>
    <t>Check_In</t>
  </si>
  <si>
    <t>ngay</t>
  </si>
  <si>
    <t>ten_san_pham_sx</t>
  </si>
  <si>
    <t>Product</t>
  </si>
  <si>
    <t>ma_nhan_vien_quet</t>
  </si>
  <si>
    <t>vi_tri_loi</t>
  </si>
  <si>
    <t>muc_do_nghiem_trong</t>
  </si>
  <si>
    <t>hinh_anh_loi</t>
  </si>
  <si>
    <t>mieu_ta_loi</t>
  </si>
  <si>
    <t>he_so_chat_luong</t>
  </si>
  <si>
    <t>nhan_vien_qc</t>
  </si>
  <si>
    <t>ngay_quet_qc</t>
  </si>
  <si>
    <t>GETDATE()</t>
  </si>
  <si>
    <t>'N'</t>
  </si>
  <si>
    <t>PCNV_Employee</t>
  </si>
  <si>
    <t>ma_pcnv</t>
  </si>
  <si>
    <t>noi_dung_lenh_sx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</si>
</sst>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5" fillId="0" borderId="0"/>
  </cellStyleXfs>
  <cellXfs count="48">
    <xf numFmtId="0" fontId="0" fillId="0" borderId="0" xfId="0"/>
    <xf numFmtId="0" fontId="0" fillId="2" borderId="0" xfId="0" applyFill="1"/>
    <xf numFmtId="0" fontId="7" fillId="0" borderId="0" xfId="0" applyFont="1"/>
    <xf numFmtId="0" fontId="6" fillId="0" borderId="0" xfId="0" applyFont="1"/>
    <xf numFmtId="49" fontId="6" fillId="0" borderId="0" xfId="0" applyNumberFormat="1" applyFont="1" applyAlignment="1">
      <alignment horizontal="center"/>
    </xf>
    <xf numFmtId="0" fontId="7" fillId="3" borderId="0" xfId="0" applyFont="1" applyFill="1" applyBorder="1"/>
    <xf numFmtId="0" fontId="6" fillId="3" borderId="0" xfId="0" applyFont="1" applyFill="1" applyBorder="1"/>
    <xf numFmtId="49" fontId="6" fillId="3" borderId="0" xfId="0" applyNumberFormat="1" applyFont="1" applyFill="1" applyBorder="1" applyAlignment="1">
      <alignment horizontal="center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3" xfId="0" quotePrefix="1" applyFont="1" applyFill="1" applyBorder="1"/>
    <xf numFmtId="0" fontId="7" fillId="3" borderId="4" xfId="0" applyFont="1" applyFill="1" applyBorder="1"/>
    <xf numFmtId="0" fontId="7" fillId="3" borderId="5" xfId="0" applyFont="1" applyFill="1" applyBorder="1"/>
    <xf numFmtId="0" fontId="6" fillId="3" borderId="5" xfId="0" applyFont="1" applyFill="1" applyBorder="1"/>
    <xf numFmtId="49" fontId="6" fillId="3" borderId="5" xfId="0" applyNumberFormat="1" applyFont="1" applyFill="1" applyBorder="1" applyAlignment="1">
      <alignment horizontal="center"/>
    </xf>
    <xf numFmtId="0" fontId="7" fillId="3" borderId="6" xfId="0" applyFont="1" applyFill="1" applyBorder="1"/>
    <xf numFmtId="0" fontId="7" fillId="0" borderId="4" xfId="0" applyFont="1" applyBorder="1"/>
    <xf numFmtId="0" fontId="7" fillId="0" borderId="5" xfId="0" applyFont="1" applyBorder="1"/>
    <xf numFmtId="0" fontId="6" fillId="0" borderId="5" xfId="0" applyFont="1" applyBorder="1"/>
    <xf numFmtId="0" fontId="8" fillId="4" borderId="9" xfId="0" applyFont="1" applyFill="1" applyBorder="1"/>
    <xf numFmtId="0" fontId="8" fillId="4" borderId="10" xfId="0" applyFont="1" applyFill="1" applyBorder="1"/>
    <xf numFmtId="0" fontId="8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Border="1"/>
    <xf numFmtId="0" fontId="11" fillId="6" borderId="0" xfId="1" applyFont="1" applyFill="1"/>
    <xf numFmtId="0" fontId="0" fillId="0" borderId="10" xfId="0" applyFont="1" applyBorder="1" applyAlignment="1">
      <alignment horizontal="right"/>
    </xf>
    <xf numFmtId="0" fontId="0" fillId="0" borderId="13" xfId="0" applyFont="1" applyBorder="1"/>
    <xf numFmtId="0" fontId="0" fillId="0" borderId="13" xfId="0" applyFont="1" applyBorder="1" applyAlignment="1">
      <alignment horizontal="right"/>
    </xf>
    <xf numFmtId="0" fontId="0" fillId="0" borderId="14" xfId="0" applyFont="1" applyBorder="1"/>
    <xf numFmtId="0" fontId="0" fillId="7" borderId="7" xfId="0" applyFont="1" applyFill="1" applyBorder="1"/>
    <xf numFmtId="0" fontId="0" fillId="7" borderId="8" xfId="0" applyFont="1" applyFill="1" applyBorder="1"/>
    <xf numFmtId="0" fontId="0" fillId="0" borderId="0" xfId="0" applyAlignment="1">
      <alignment horizontal="right" vertical="center"/>
    </xf>
    <xf numFmtId="0" fontId="0" fillId="0" borderId="15" xfId="0" applyBorder="1"/>
    <xf numFmtId="0" fontId="9" fillId="0" borderId="15" xfId="1" applyBorder="1"/>
    <xf numFmtId="0" fontId="0" fillId="7" borderId="15" xfId="0" applyFill="1" applyBorder="1"/>
    <xf numFmtId="0" fontId="10" fillId="5" borderId="15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16" xfId="0" applyFill="1" applyBorder="1"/>
    <xf numFmtId="0" fontId="4" fillId="0" borderId="0" xfId="2" applyFont="1"/>
    <xf numFmtId="0" fontId="3" fillId="0" borderId="0" xfId="2" applyFont="1"/>
    <xf numFmtId="14" fontId="7" fillId="3" borderId="0" xfId="0" applyNumberFormat="1" applyFont="1" applyFill="1" applyBorder="1"/>
    <xf numFmtId="0" fontId="0" fillId="0" borderId="10" xfId="0" quotePrefix="1" applyFont="1" applyBorder="1"/>
    <xf numFmtId="0" fontId="2" fillId="0" borderId="0" xfId="2" applyFont="1"/>
    <xf numFmtId="0" fontId="6" fillId="3" borderId="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1" fillId="0" borderId="0" xfId="2" applyFont="1"/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69"/>
  <sheetViews>
    <sheetView showGridLines="0" workbookViewId="0">
      <selection activeCell="C15" sqref="C15"/>
    </sheetView>
  </sheetViews>
  <sheetFormatPr defaultRowHeight="13.2" x14ac:dyDescent="0.25"/>
  <cols>
    <col min="1" max="1" width="32.109375" bestFit="1" customWidth="1"/>
    <col min="2" max="2" width="9.44140625" bestFit="1" customWidth="1"/>
    <col min="3" max="3" width="56.44140625" customWidth="1"/>
    <col min="4" max="4" width="8.88671875" bestFit="1" customWidth="1"/>
    <col min="5" max="6" width="14.88671875" bestFit="1" customWidth="1"/>
  </cols>
  <sheetData>
    <row r="1" spans="1:6" x14ac:dyDescent="0.25">
      <c r="A1" s="37" t="s">
        <v>8</v>
      </c>
      <c r="B1" s="37" t="s">
        <v>17</v>
      </c>
      <c r="C1" s="37" t="s">
        <v>6</v>
      </c>
      <c r="D1" s="37" t="s">
        <v>35</v>
      </c>
      <c r="E1" s="37" t="s">
        <v>37</v>
      </c>
      <c r="F1" s="37" t="s">
        <v>36</v>
      </c>
    </row>
    <row r="2" spans="1:6" x14ac:dyDescent="0.25">
      <c r="A2" s="34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Jobs</v>
      </c>
      <c r="B2" s="35" t="str">
        <f ca="1">HYPERLINK("#'" &amp; A2 &amp; "'!A1", "GotoSheet")</f>
        <v>GotoSheet</v>
      </c>
      <c r="C2" s="36"/>
      <c r="D2" s="34"/>
      <c r="E2" s="34"/>
      <c r="F2" s="34"/>
    </row>
    <row r="3" spans="1:6" x14ac:dyDescent="0.25">
      <c r="A3" s="34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Employee</v>
      </c>
      <c r="B3" s="35" t="str">
        <f t="shared" ref="B3:B19" ca="1" si="0">HYPERLINK("#'" &amp; A3 &amp; "'!A1", "GotoSheet")</f>
        <v>GotoSheet</v>
      </c>
      <c r="D3" s="34"/>
      <c r="E3" s="34"/>
      <c r="F3" s="34"/>
    </row>
    <row r="4" spans="1:6" x14ac:dyDescent="0.25">
      <c r="A4" s="3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Employee_Job</v>
      </c>
      <c r="B4" s="35" t="str">
        <f t="shared" ca="1" si="0"/>
        <v>GotoSheet</v>
      </c>
      <c r="C4" s="34"/>
      <c r="D4" s="34"/>
      <c r="E4" s="34"/>
      <c r="F4" s="34"/>
    </row>
    <row r="5" spans="1:6" x14ac:dyDescent="0.25">
      <c r="A5" s="34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Process_Production</v>
      </c>
      <c r="B5" s="35" t="str">
        <f t="shared" ca="1" si="0"/>
        <v>GotoSheet</v>
      </c>
      <c r="C5" s="34"/>
      <c r="D5" s="34"/>
      <c r="E5" s="34"/>
      <c r="F5" s="34"/>
    </row>
    <row r="6" spans="1:6" x14ac:dyDescent="0.25">
      <c r="A6" s="34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Process_Production_Job</v>
      </c>
      <c r="B6" s="35" t="str">
        <f t="shared" ca="1" si="0"/>
        <v>GotoSheet</v>
      </c>
      <c r="C6" s="34"/>
      <c r="D6" s="34"/>
      <c r="E6" s="34"/>
      <c r="F6" s="34"/>
    </row>
    <row r="7" spans="1:6" x14ac:dyDescent="0.25">
      <c r="A7" s="34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Working_Time</v>
      </c>
      <c r="B7" s="35" t="str">
        <f t="shared" ca="1" si="0"/>
        <v>GotoSheet</v>
      </c>
      <c r="C7" s="39"/>
      <c r="D7" s="34"/>
      <c r="E7" s="34"/>
      <c r="F7" s="34"/>
    </row>
    <row r="8" spans="1:6" x14ac:dyDescent="0.25">
      <c r="A8" s="34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Check_In</v>
      </c>
      <c r="B8" s="35" t="str">
        <f>HYPERLINK("#Merchant_Promotion_Detail!A1", "GotoSheet")</f>
        <v>GotoSheet</v>
      </c>
      <c r="C8" s="34"/>
      <c r="D8" s="34"/>
      <c r="E8" s="34"/>
      <c r="F8" s="34"/>
    </row>
    <row r="9" spans="1:6" x14ac:dyDescent="0.25">
      <c r="A9" s="34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Lenh_San_Xuat</v>
      </c>
      <c r="B9" s="35" t="str">
        <f t="shared" ca="1" si="0"/>
        <v>GotoSheet</v>
      </c>
      <c r="C9" s="34"/>
      <c r="D9" s="34"/>
      <c r="E9" s="34"/>
      <c r="F9" s="34"/>
    </row>
    <row r="10" spans="1:6" x14ac:dyDescent="0.25">
      <c r="A10" s="34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Phan_Cong_Nhiem_Vu</v>
      </c>
      <c r="B10" s="35" t="str">
        <f t="shared" ca="1" si="0"/>
        <v>GotoSheet</v>
      </c>
      <c r="C10" s="34"/>
      <c r="D10" s="34"/>
      <c r="E10" s="34"/>
      <c r="F10" s="34"/>
    </row>
    <row r="11" spans="1:6" x14ac:dyDescent="0.25">
      <c r="A11" s="34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>PCNV_Employee</v>
      </c>
      <c r="B11" s="35" t="str">
        <f t="shared" ca="1" si="0"/>
        <v>GotoSheet</v>
      </c>
      <c r="C11" s="34"/>
      <c r="D11" s="34"/>
      <c r="E11" s="34"/>
      <c r="F11" s="34"/>
    </row>
    <row r="12" spans="1:6" x14ac:dyDescent="0.25">
      <c r="A12" s="34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>Product</v>
      </c>
      <c r="B12" s="35" t="str">
        <f t="shared" ca="1" si="0"/>
        <v>GotoSheet</v>
      </c>
      <c r="C12" s="34"/>
      <c r="D12" s="34"/>
      <c r="E12" s="34"/>
      <c r="F12" s="34"/>
    </row>
    <row r="13" spans="1:6" x14ac:dyDescent="0.25">
      <c r="A13" s="34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35" t="str">
        <f t="shared" ca="1" si="0"/>
        <v>GotoSheet</v>
      </c>
      <c r="C13" s="34"/>
      <c r="D13" s="34"/>
      <c r="E13" s="34"/>
      <c r="F13" s="34"/>
    </row>
    <row r="14" spans="1:6" x14ac:dyDescent="0.25">
      <c r="A14" s="3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35" t="str">
        <f t="shared" ca="1" si="0"/>
        <v>GotoSheet</v>
      </c>
      <c r="C14" s="34"/>
      <c r="D14" s="34"/>
      <c r="E14" s="34"/>
      <c r="F14" s="34"/>
    </row>
    <row r="15" spans="1:6" x14ac:dyDescent="0.25">
      <c r="A15" s="34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35" t="str">
        <f t="shared" ca="1" si="0"/>
        <v>GotoSheet</v>
      </c>
      <c r="C15" s="34"/>
      <c r="D15" s="34"/>
      <c r="E15" s="34"/>
      <c r="F15" s="34"/>
    </row>
    <row r="16" spans="1:6" x14ac:dyDescent="0.25">
      <c r="A16" s="34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35" t="str">
        <f t="shared" ca="1" si="0"/>
        <v>GotoSheet</v>
      </c>
      <c r="C16" s="34"/>
      <c r="D16" s="34"/>
      <c r="E16" s="34"/>
      <c r="F16" s="34"/>
    </row>
    <row r="17" spans="1:6" x14ac:dyDescent="0.25">
      <c r="A17" s="34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35" t="str">
        <f t="shared" ca="1" si="0"/>
        <v>GotoSheet</v>
      </c>
      <c r="C17" s="34"/>
      <c r="D17" s="34"/>
      <c r="E17" s="34"/>
      <c r="F17" s="34"/>
    </row>
    <row r="18" spans="1:6" x14ac:dyDescent="0.25">
      <c r="A18" s="34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35" t="str">
        <f t="shared" ca="1" si="0"/>
        <v>GotoSheet</v>
      </c>
      <c r="C18" s="34"/>
      <c r="D18" s="34"/>
      <c r="E18" s="34"/>
      <c r="F18" s="34"/>
    </row>
    <row r="19" spans="1:6" x14ac:dyDescent="0.25">
      <c r="A19" s="34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35" t="str">
        <f t="shared" ca="1" si="0"/>
        <v>GotoSheet</v>
      </c>
      <c r="C19" s="34"/>
      <c r="D19" s="34"/>
      <c r="E19" s="34"/>
      <c r="F19" s="34"/>
    </row>
    <row r="20" spans="1:6" x14ac:dyDescent="0.25">
      <c r="A20" s="34"/>
      <c r="B20" s="35"/>
      <c r="C20" s="34"/>
      <c r="D20" s="34"/>
      <c r="E20" s="34"/>
      <c r="F20" s="34"/>
    </row>
    <row r="21" spans="1:6" x14ac:dyDescent="0.25">
      <c r="A21" s="34"/>
      <c r="B21" s="35"/>
      <c r="C21" s="34"/>
      <c r="D21" s="34"/>
      <c r="E21" s="34"/>
      <c r="F21" s="34"/>
    </row>
    <row r="22" spans="1:6" x14ac:dyDescent="0.25">
      <c r="A22" s="34"/>
      <c r="B22" s="35"/>
      <c r="C22" s="34"/>
      <c r="D22" s="34"/>
      <c r="E22" s="34"/>
      <c r="F22" s="34"/>
    </row>
    <row r="23" spans="1:6" x14ac:dyDescent="0.25">
      <c r="A23" s="34"/>
      <c r="B23" s="35"/>
      <c r="C23" s="34"/>
      <c r="D23" s="34"/>
      <c r="E23" s="34"/>
      <c r="F23" s="34"/>
    </row>
    <row r="24" spans="1:6" x14ac:dyDescent="0.25">
      <c r="A24" s="34"/>
      <c r="B24" s="35"/>
      <c r="C24" s="34"/>
      <c r="D24" s="34"/>
      <c r="E24" s="34"/>
      <c r="F24" s="34"/>
    </row>
    <row r="25" spans="1:6" x14ac:dyDescent="0.25">
      <c r="A25" s="34"/>
      <c r="B25" s="35"/>
      <c r="C25" s="34"/>
      <c r="D25" s="34"/>
      <c r="E25" s="34"/>
      <c r="F25" s="34"/>
    </row>
    <row r="26" spans="1:6" x14ac:dyDescent="0.25">
      <c r="A26" s="34"/>
      <c r="B26" s="35"/>
      <c r="C26" s="34"/>
      <c r="D26" s="34"/>
      <c r="E26" s="34"/>
      <c r="F26" s="34"/>
    </row>
    <row r="27" spans="1:6" x14ac:dyDescent="0.25">
      <c r="A27" s="34"/>
      <c r="B27" s="35"/>
      <c r="C27" s="34"/>
      <c r="D27" s="34"/>
      <c r="E27" s="34"/>
      <c r="F27" s="34"/>
    </row>
    <row r="28" spans="1:6" x14ac:dyDescent="0.25">
      <c r="A28" s="34"/>
      <c r="B28" s="35"/>
      <c r="C28" s="34"/>
      <c r="D28" s="34"/>
      <c r="E28" s="34"/>
      <c r="F28" s="34"/>
    </row>
    <row r="29" spans="1:6" x14ac:dyDescent="0.25">
      <c r="A29" s="34"/>
      <c r="B29" s="35"/>
      <c r="C29" s="34"/>
      <c r="D29" s="34"/>
      <c r="E29" s="34"/>
      <c r="F29" s="34"/>
    </row>
    <row r="30" spans="1:6" x14ac:dyDescent="0.25">
      <c r="A30" s="34"/>
      <c r="B30" s="35"/>
      <c r="C30" s="34"/>
      <c r="D30" s="34"/>
      <c r="E30" s="34"/>
      <c r="F30" s="34"/>
    </row>
    <row r="31" spans="1:6" x14ac:dyDescent="0.25">
      <c r="A31" s="34"/>
      <c r="B31" s="35"/>
      <c r="C31" s="34"/>
      <c r="D31" s="34"/>
      <c r="E31" s="34"/>
      <c r="F31" s="34"/>
    </row>
    <row r="32" spans="1:6" x14ac:dyDescent="0.25">
      <c r="A32" s="34"/>
      <c r="B32" s="35"/>
      <c r="C32" s="34"/>
      <c r="D32" s="34"/>
      <c r="E32" s="34"/>
      <c r="F32" s="34"/>
    </row>
    <row r="33" spans="1:6" x14ac:dyDescent="0.25">
      <c r="A33" s="34"/>
      <c r="B33" s="35"/>
      <c r="C33" s="34"/>
      <c r="D33" s="34"/>
      <c r="E33" s="34"/>
      <c r="F33" s="34"/>
    </row>
    <row r="34" spans="1:6" x14ac:dyDescent="0.25">
      <c r="A34" s="34"/>
      <c r="B34" s="35"/>
      <c r="C34" s="34"/>
      <c r="D34" s="34"/>
      <c r="E34" s="34"/>
      <c r="F34" s="34"/>
    </row>
    <row r="35" spans="1:6" x14ac:dyDescent="0.25">
      <c r="A35" s="34"/>
      <c r="B35" s="35"/>
      <c r="C35" s="34"/>
      <c r="D35" s="34"/>
      <c r="E35" s="34"/>
      <c r="F35" s="34"/>
    </row>
    <row r="36" spans="1:6" x14ac:dyDescent="0.25">
      <c r="A36" s="34"/>
      <c r="B36" s="35"/>
      <c r="C36" s="34"/>
      <c r="D36" s="34"/>
      <c r="E36" s="34"/>
      <c r="F36" s="34"/>
    </row>
    <row r="37" spans="1:6" x14ac:dyDescent="0.25">
      <c r="A37" s="34"/>
      <c r="B37" s="35"/>
      <c r="C37" s="34"/>
      <c r="D37" s="34"/>
      <c r="E37" s="34"/>
      <c r="F37" s="34"/>
    </row>
    <row r="38" spans="1:6" x14ac:dyDescent="0.25">
      <c r="A38" s="34"/>
      <c r="B38" s="35"/>
      <c r="C38" s="34"/>
      <c r="D38" s="34"/>
      <c r="E38" s="34"/>
      <c r="F38" s="34"/>
    </row>
    <row r="39" spans="1:6" x14ac:dyDescent="0.25">
      <c r="A39" s="34"/>
      <c r="B39" s="35"/>
      <c r="C39" s="34"/>
      <c r="D39" s="34"/>
      <c r="E39" s="34"/>
      <c r="F39" s="34"/>
    </row>
    <row r="40" spans="1:6" x14ac:dyDescent="0.25">
      <c r="A40" s="34"/>
      <c r="B40" s="35"/>
      <c r="C40" s="34"/>
      <c r="D40" s="34"/>
      <c r="E40" s="34"/>
      <c r="F40" s="34"/>
    </row>
    <row r="41" spans="1:6" x14ac:dyDescent="0.25">
      <c r="A41" s="34"/>
      <c r="B41" s="35"/>
      <c r="C41" s="34"/>
      <c r="D41" s="34"/>
      <c r="E41" s="34"/>
      <c r="F41" s="34"/>
    </row>
    <row r="42" spans="1:6" x14ac:dyDescent="0.25">
      <c r="A42" s="34"/>
      <c r="B42" s="35"/>
      <c r="C42" s="34"/>
      <c r="D42" s="34"/>
      <c r="E42" s="34"/>
      <c r="F42" s="34"/>
    </row>
    <row r="43" spans="1:6" x14ac:dyDescent="0.25">
      <c r="A43" s="34"/>
      <c r="B43" s="34"/>
      <c r="C43" s="34"/>
      <c r="D43" s="34"/>
      <c r="E43" s="34"/>
      <c r="F43" s="34"/>
    </row>
    <row r="44" spans="1:6" x14ac:dyDescent="0.25">
      <c r="A44" s="34"/>
      <c r="B44" s="34"/>
      <c r="C44" s="34"/>
      <c r="D44" s="34"/>
      <c r="E44" s="34"/>
      <c r="F44" s="34"/>
    </row>
    <row r="45" spans="1:6" x14ac:dyDescent="0.25">
      <c r="A45" s="34"/>
      <c r="B45" s="34"/>
      <c r="C45" s="34"/>
      <c r="D45" s="34"/>
      <c r="E45" s="34"/>
      <c r="F45" s="34"/>
    </row>
    <row r="46" spans="1:6" x14ac:dyDescent="0.25">
      <c r="A46" s="34"/>
      <c r="B46" s="34"/>
      <c r="C46" s="34"/>
      <c r="D46" s="34"/>
      <c r="E46" s="34"/>
      <c r="F46" s="34"/>
    </row>
    <row r="47" spans="1:6" x14ac:dyDescent="0.25">
      <c r="A47" s="34"/>
      <c r="B47" s="34"/>
      <c r="C47" s="34"/>
      <c r="D47" s="34"/>
      <c r="E47" s="34"/>
      <c r="F47" s="34"/>
    </row>
    <row r="48" spans="1:6" x14ac:dyDescent="0.25">
      <c r="A48" s="34"/>
      <c r="B48" s="34"/>
      <c r="C48" s="34"/>
      <c r="D48" s="34"/>
      <c r="E48" s="34"/>
      <c r="F48" s="34"/>
    </row>
    <row r="49" spans="1:6" x14ac:dyDescent="0.25">
      <c r="A49" s="34"/>
      <c r="B49" s="34"/>
      <c r="C49" s="34"/>
      <c r="D49" s="34"/>
      <c r="E49" s="34"/>
      <c r="F49" s="34"/>
    </row>
    <row r="50" spans="1:6" x14ac:dyDescent="0.25">
      <c r="A50" s="34"/>
      <c r="B50" s="34"/>
      <c r="C50" s="34"/>
      <c r="D50" s="34"/>
      <c r="E50" s="34"/>
      <c r="F50" s="34"/>
    </row>
    <row r="51" spans="1:6" x14ac:dyDescent="0.25">
      <c r="A51" s="34"/>
      <c r="B51" s="34"/>
      <c r="C51" s="34"/>
      <c r="D51" s="34"/>
      <c r="E51" s="34"/>
      <c r="F51" s="34"/>
    </row>
    <row r="52" spans="1:6" x14ac:dyDescent="0.25">
      <c r="A52" s="34"/>
      <c r="B52" s="34"/>
      <c r="C52" s="34"/>
      <c r="D52" s="34"/>
      <c r="E52" s="34"/>
      <c r="F52" s="34"/>
    </row>
    <row r="53" spans="1:6" x14ac:dyDescent="0.25">
      <c r="A53" s="34"/>
      <c r="B53" s="34"/>
      <c r="C53" s="34"/>
      <c r="D53" s="34"/>
      <c r="E53" s="34"/>
      <c r="F53" s="34"/>
    </row>
    <row r="54" spans="1:6" x14ac:dyDescent="0.25">
      <c r="A54" s="34"/>
      <c r="B54" s="34"/>
      <c r="C54" s="34"/>
      <c r="D54" s="34"/>
      <c r="E54" s="34"/>
      <c r="F54" s="34"/>
    </row>
    <row r="55" spans="1:6" x14ac:dyDescent="0.25">
      <c r="A55" s="34"/>
      <c r="B55" s="34"/>
      <c r="C55" s="34"/>
      <c r="D55" s="34"/>
      <c r="E55" s="34"/>
      <c r="F55" s="34"/>
    </row>
    <row r="56" spans="1:6" x14ac:dyDescent="0.25">
      <c r="A56" s="34"/>
      <c r="B56" s="34"/>
      <c r="C56" s="34"/>
      <c r="D56" s="34"/>
      <c r="E56" s="34"/>
      <c r="F56" s="34"/>
    </row>
    <row r="57" spans="1:6" x14ac:dyDescent="0.25">
      <c r="A57" s="34"/>
      <c r="B57" s="34"/>
      <c r="C57" s="34"/>
      <c r="D57" s="34"/>
      <c r="E57" s="34"/>
      <c r="F57" s="34"/>
    </row>
    <row r="58" spans="1:6" x14ac:dyDescent="0.25">
      <c r="A58" s="34"/>
      <c r="B58" s="34"/>
      <c r="C58" s="34"/>
      <c r="D58" s="34"/>
      <c r="E58" s="34"/>
      <c r="F58" s="34"/>
    </row>
    <row r="59" spans="1:6" x14ac:dyDescent="0.25">
      <c r="A59" s="34"/>
      <c r="B59" s="34"/>
      <c r="C59" s="34"/>
      <c r="D59" s="34"/>
      <c r="E59" s="34"/>
      <c r="F59" s="34"/>
    </row>
    <row r="60" spans="1:6" x14ac:dyDescent="0.25">
      <c r="A60" s="34"/>
      <c r="B60" s="34"/>
      <c r="C60" s="34"/>
      <c r="D60" s="34"/>
      <c r="E60" s="34"/>
      <c r="F60" s="34"/>
    </row>
    <row r="61" spans="1:6" x14ac:dyDescent="0.25">
      <c r="A61" s="34"/>
      <c r="B61" s="34"/>
      <c r="C61" s="34"/>
      <c r="D61" s="34"/>
      <c r="E61" s="34"/>
      <c r="F61" s="34"/>
    </row>
    <row r="62" spans="1:6" x14ac:dyDescent="0.25">
      <c r="A62" s="34"/>
      <c r="B62" s="34"/>
      <c r="C62" s="34"/>
      <c r="D62" s="34"/>
      <c r="E62" s="34"/>
      <c r="F62" s="34"/>
    </row>
    <row r="63" spans="1:6" x14ac:dyDescent="0.25">
      <c r="A63" s="34"/>
      <c r="B63" s="34"/>
      <c r="C63" s="34"/>
      <c r="D63" s="34"/>
      <c r="E63" s="34"/>
      <c r="F63" s="34"/>
    </row>
    <row r="64" spans="1:6" x14ac:dyDescent="0.25">
      <c r="A64" s="34"/>
      <c r="B64" s="34"/>
      <c r="C64" s="34"/>
      <c r="D64" s="34"/>
      <c r="E64" s="34"/>
      <c r="F64" s="34"/>
    </row>
    <row r="65" spans="1:6" x14ac:dyDescent="0.25">
      <c r="A65" s="34"/>
      <c r="B65" s="34"/>
      <c r="C65" s="34"/>
      <c r="D65" s="34"/>
      <c r="E65" s="34"/>
      <c r="F65" s="34"/>
    </row>
    <row r="66" spans="1:6" x14ac:dyDescent="0.25">
      <c r="A66" s="34"/>
      <c r="B66" s="34"/>
      <c r="C66" s="34"/>
      <c r="D66" s="34"/>
      <c r="E66" s="34"/>
      <c r="F66" s="34"/>
    </row>
    <row r="67" spans="1:6" x14ac:dyDescent="0.25">
      <c r="A67" s="34"/>
      <c r="B67" s="34"/>
      <c r="C67" s="34"/>
      <c r="D67" s="34"/>
      <c r="E67" s="34"/>
      <c r="F67" s="34"/>
    </row>
    <row r="68" spans="1:6" x14ac:dyDescent="0.25">
      <c r="A68" s="34"/>
      <c r="B68" s="34"/>
      <c r="C68" s="34"/>
      <c r="D68" s="34"/>
      <c r="E68" s="34"/>
      <c r="F68" s="34"/>
    </row>
    <row r="69" spans="1:6" x14ac:dyDescent="0.25">
      <c r="A69" s="34"/>
      <c r="B69" s="34"/>
      <c r="C69" s="34"/>
      <c r="D69" s="34"/>
      <c r="E69" s="34"/>
      <c r="F69" s="3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activeCell="A7" sqref="A7:F7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46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0" t="s">
        <v>43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42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1" t="s">
        <v>66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0" t="s">
        <v>44</v>
      </c>
      <c r="B8" s="23" t="s">
        <v>67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43" t="s">
        <v>68</v>
      </c>
      <c r="H9" s="23"/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5" t="s">
        <v>10</v>
      </c>
      <c r="B15" s="46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object_id(N'[dbo].[Jobs]')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[dbo].[Jobs]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[dbo].[Jobs]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[ten_cong_viec]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[loai_cong_viec]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[dinh_muc_cong_viec] [float] NOT NULL, </v>
      </c>
      <c r="C26" s="5"/>
      <c r="D26" s="5"/>
      <c r="E26" s="42">
        <v>42947</v>
      </c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 DEFAULT ('A'),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[dbo].[Jobs]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[PK_Jobs]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Jobs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ma_cong_viec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ten_cong_viec  { get; set; }</v>
      </c>
    </row>
    <row r="51" spans="1:3" x14ac:dyDescent="0.25">
      <c r="A51" s="33" t="s">
        <v>31</v>
      </c>
      <c r="B51" s="33" t="str">
        <f t="shared" si="1"/>
        <v>string</v>
      </c>
      <c r="C51" s="33" t="str">
        <f t="shared" si="2"/>
        <v>loai_cong_viec  { get; set; }</v>
      </c>
    </row>
    <row r="52" spans="1:3" x14ac:dyDescent="0.25">
      <c r="A52" s="33" t="s">
        <v>31</v>
      </c>
      <c r="B52" s="33" t="str">
        <f t="shared" si="1"/>
        <v>float</v>
      </c>
      <c r="C52" s="33" t="str">
        <f t="shared" si="2"/>
        <v>dinh_muc_cong_viec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5"/>
  <sheetViews>
    <sheetView workbookViewId="0">
      <selection activeCell="A10" sqref="A10:F14"/>
    </sheetView>
  </sheetViews>
  <sheetFormatPr defaultRowHeight="13.2" x14ac:dyDescent="0.25"/>
  <cols>
    <col min="1" max="1" width="23.88671875" customWidth="1"/>
    <col min="2" max="2" width="17.6640625" customWidth="1"/>
    <col min="3" max="3" width="31.1093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39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41</v>
      </c>
      <c r="B6" s="23" t="s">
        <v>20</v>
      </c>
      <c r="C6" s="27">
        <v>300</v>
      </c>
      <c r="D6" s="23"/>
      <c r="E6" s="23"/>
      <c r="F6" s="23" t="b">
        <v>0</v>
      </c>
      <c r="G6" s="23"/>
      <c r="H6" s="23"/>
      <c r="I6" s="24"/>
      <c r="J6" s="25"/>
    </row>
    <row r="7" spans="1:12" x14ac:dyDescent="0.25">
      <c r="A7" s="22" t="s">
        <v>48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49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50</v>
      </c>
      <c r="B9" s="23" t="s">
        <v>20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2" x14ac:dyDescent="0.25">
      <c r="A10" s="22" t="s">
        <v>33</v>
      </c>
      <c r="B10" s="23" t="s">
        <v>20</v>
      </c>
      <c r="C10" s="27">
        <v>50</v>
      </c>
      <c r="D10" s="23"/>
      <c r="E10" s="23"/>
      <c r="F10" s="23" t="b">
        <v>1</v>
      </c>
      <c r="G10" s="43" t="s">
        <v>68</v>
      </c>
      <c r="H10" s="23"/>
      <c r="I10" s="24"/>
      <c r="J10" s="25"/>
    </row>
    <row r="11" spans="1:12" x14ac:dyDescent="0.25">
      <c r="A11" s="22" t="s">
        <v>21</v>
      </c>
      <c r="B11" s="23" t="s">
        <v>9</v>
      </c>
      <c r="C11" s="27"/>
      <c r="D11" s="23"/>
      <c r="E11" s="23"/>
      <c r="F11" s="23" t="b">
        <v>1</v>
      </c>
      <c r="G11" s="31"/>
      <c r="H11" s="31"/>
      <c r="I11" s="32"/>
      <c r="J11" s="25"/>
    </row>
    <row r="12" spans="1:12" x14ac:dyDescent="0.25">
      <c r="A12" s="22" t="s">
        <v>22</v>
      </c>
      <c r="B12" s="23" t="s">
        <v>20</v>
      </c>
      <c r="C12" s="27">
        <v>32</v>
      </c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22" t="s">
        <v>23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2" x14ac:dyDescent="0.25">
      <c r="A14" s="22" t="s">
        <v>24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2" ht="13.8" thickBot="1" x14ac:dyDescent="0.3"/>
    <row r="16" spans="1:12" ht="13.8" thickBot="1" x14ac:dyDescent="0.3">
      <c r="A16" s="45" t="s">
        <v>10</v>
      </c>
      <c r="B16" s="46"/>
      <c r="C16" s="16"/>
      <c r="D16" s="17"/>
      <c r="E16" s="17"/>
      <c r="F16" s="18"/>
      <c r="G16" s="18"/>
      <c r="H16" s="18"/>
      <c r="I16" s="18"/>
      <c r="J16" s="18"/>
      <c r="K16" s="18"/>
      <c r="L16" s="18"/>
    </row>
    <row r="17" spans="1:12" x14ac:dyDescent="0.25">
      <c r="A17" s="5"/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5" t="str">
        <f>"if exists (select * from dbo.sysobjects where id = object_id(N'[dbo].["&amp;$B$1&amp;"]') and OBJECTPROPERTY(id, N'IsUserTable') = 1)"</f>
        <v>if exists (select * from dbo.sysobjects where id = object_id(N'[dbo].[Employee]') and OBJECTPROPERTY(id, N'IsUserTable') = 1)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tr">
        <f>"drop table [dbo].["&amp;$B$1&amp;"]"</f>
        <v>drop table [dbo].[Employee]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">
        <v>11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 t="str">
        <f>"CREATE TABLE [dbo].["&amp;$B$1&amp;"] ("</f>
        <v>CREATE TABLE [dbo].[Employee] (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ref="B24:B3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[ten_nhan_vien] [nvarchar] (300)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[birthday] [datetime]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[mat_khau] [nvarchar] (100)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[loai_nhan_vien] [nvarchar] (50)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[trang_thai] [nvarchar] (50) NULL DEFAULT ('A'),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[ngay_tao]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[nguoi_tao] [nvarchar] (32)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[ngay_cap_nhat]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>[nguoi_cap_nhat] [nvarchar] (32) NULL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 t="s">
        <v>12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">
        <v>11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tr">
        <f>"ALTER TABLE [dbo].["&amp;$B$1&amp;"] ADD"</f>
        <v>ALTER TABLE [dbo].[Employee] ADD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 t="str">
        <f>"CONSTRAINT [PK_"&amp;$B$1&amp;"] PRIMARY KEY  CLUSTERED"</f>
        <v>CONSTRAINT [PK_Employee] PRIMARY KEY  CLUSTERED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13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 t="str">
        <f>IF(D4=TRUE, "["&amp;A4&amp;"]"&amp;IF(D5="", "", ", "), "")</f>
        <v>[id]</v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/>
      <c r="C41" s="5" t="str">
        <f>IF(D5=TRUE, "["&amp;A5&amp;"]"&amp;IF(D6="", "", ", "), "")</f>
        <v/>
      </c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IF(D6=TRUE, "["&amp;A6&amp;"]"&amp;IF(D7="", "", ", "), "")</f>
        <v/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Employee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4" si="1">IF(OR($B5="nvarchar",$B5="varchar"),"string",IF($B5="datetime","DateTime",$B5))</f>
        <v>string</v>
      </c>
      <c r="C55" s="33" t="str">
        <f t="shared" ref="C55:C64" si="2">A5&amp;" "&amp;$C$46</f>
        <v>ma_nhan_vien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ten_nhan_vien  { get; set; }</v>
      </c>
    </row>
    <row r="57" spans="1:3" x14ac:dyDescent="0.25">
      <c r="A57" s="33" t="s">
        <v>31</v>
      </c>
      <c r="B57" s="33" t="str">
        <f t="shared" si="1"/>
        <v>DateTime</v>
      </c>
      <c r="C57" s="33" t="str">
        <f t="shared" si="2"/>
        <v>birthday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mat_khau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loai_nhan_vien  { get; set; }</v>
      </c>
    </row>
    <row r="60" spans="1:3" x14ac:dyDescent="0.25">
      <c r="A60" s="33" t="s">
        <v>31</v>
      </c>
      <c r="B60" s="33" t="str">
        <f t="shared" si="1"/>
        <v>string</v>
      </c>
      <c r="C60" s="33" t="str">
        <f t="shared" si="2"/>
        <v>trang_thai  { get; set; }</v>
      </c>
    </row>
    <row r="61" spans="1:3" x14ac:dyDescent="0.25">
      <c r="A61" s="33" t="s">
        <v>31</v>
      </c>
      <c r="B61" s="33" t="str">
        <f t="shared" si="1"/>
        <v>DateTime</v>
      </c>
      <c r="C61" s="33" t="str">
        <f t="shared" si="2"/>
        <v>ngay_tao  { get; set; }</v>
      </c>
    </row>
    <row r="62" spans="1:3" x14ac:dyDescent="0.25">
      <c r="A62" s="33" t="s">
        <v>31</v>
      </c>
      <c r="B62" s="33" t="str">
        <f t="shared" si="1"/>
        <v>string</v>
      </c>
      <c r="C62" s="33" t="str">
        <f t="shared" si="2"/>
        <v>nguoi_tao  { get; set; }</v>
      </c>
    </row>
    <row r="63" spans="1:3" x14ac:dyDescent="0.25">
      <c r="A63" s="33" t="s">
        <v>31</v>
      </c>
      <c r="B63" s="33" t="str">
        <f t="shared" si="1"/>
        <v>DateTime</v>
      </c>
      <c r="C63" s="33" t="str">
        <f t="shared" si="2"/>
        <v>ngay_cap_nhat  { get; set; }</v>
      </c>
    </row>
    <row r="64" spans="1:3" x14ac:dyDescent="0.25">
      <c r="A64" s="33" t="s">
        <v>31</v>
      </c>
      <c r="B64" s="33" t="str">
        <f t="shared" si="1"/>
        <v>string</v>
      </c>
      <c r="C64" s="33" t="str">
        <f t="shared" si="2"/>
        <v>nguoi_cap_nhat  { get; set; }</v>
      </c>
    </row>
    <row r="65" spans="1:3" x14ac:dyDescent="0.25">
      <c r="A65" s="33" t="s">
        <v>32</v>
      </c>
      <c r="B65" s="33"/>
      <c r="C65" s="33" t="str">
        <f>IF($B16="nvarchar","("&amp;$C$5&amp;")",IF($B16="varchar","("&amp;$C16&amp;")",""))</f>
        <v/>
      </c>
    </row>
  </sheetData>
  <mergeCells count="1">
    <mergeCell ref="A16:B16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workbookViewId="0">
      <selection activeCell="A8" sqref="A8"/>
    </sheetView>
  </sheetViews>
  <sheetFormatPr defaultRowHeight="13.2" x14ac:dyDescent="0.25"/>
  <cols>
    <col min="1" max="1" width="23.88671875" customWidth="1"/>
    <col min="2" max="2" width="21.109375" customWidth="1"/>
    <col min="3" max="3" width="35.332031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41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43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24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object_id(N'[dbo].[Employee_Job]')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[dbo].[Employee_Job]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[dbo].[Employee_Job]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[ten_nhan_vien] [nvarchar] (100)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[dbo].[Employee_Job]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[PK_Employee_Job]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s="2"/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C38" t="s">
        <v>26</v>
      </c>
    </row>
    <row r="41" spans="1:12" x14ac:dyDescent="0.25">
      <c r="A41" s="33" t="s">
        <v>27</v>
      </c>
      <c r="B41" s="33" t="str">
        <f>B1</f>
        <v>Employee_Job</v>
      </c>
      <c r="C41" s="33"/>
    </row>
    <row r="42" spans="1:12" x14ac:dyDescent="0.25">
      <c r="A42" s="33" t="s">
        <v>28</v>
      </c>
      <c r="B42" s="33"/>
      <c r="C42" s="33"/>
    </row>
    <row r="43" spans="1:12" x14ac:dyDescent="0.25">
      <c r="A43" s="33"/>
      <c r="B43" s="33" t="s">
        <v>29</v>
      </c>
      <c r="C43" s="33"/>
    </row>
    <row r="44" spans="1:12" x14ac:dyDescent="0.25">
      <c r="A44" s="33"/>
      <c r="B44" s="33" t="s">
        <v>30</v>
      </c>
      <c r="C44" s="33"/>
    </row>
    <row r="45" spans="1:12" x14ac:dyDescent="0.25">
      <c r="A45" s="33" t="s">
        <v>31</v>
      </c>
      <c r="B45" s="33" t="str">
        <f>IF(OR($B4="nvarchar",$B4="varchar"),"string",IF($B4="datetime","DateTime",$B4))</f>
        <v>int</v>
      </c>
      <c r="C45" s="33" t="str">
        <f>$A4&amp;" "&amp;$C$38</f>
        <v>id  { get; set; }</v>
      </c>
    </row>
    <row r="46" spans="1:12" x14ac:dyDescent="0.25">
      <c r="A46" s="33" t="s">
        <v>31</v>
      </c>
      <c r="B46" s="33" t="str">
        <f t="shared" ref="B46:B52" si="1">IF(OR($B5="nvarchar",$B5="varchar"),"string",IF($B5="datetime","DateTime",$B5))</f>
        <v>string</v>
      </c>
      <c r="C46" s="33" t="str">
        <f t="shared" ref="C46:C52" si="2">$A5&amp;" "&amp;$C$38</f>
        <v>ma_nhan_vien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ten_nhan_vien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ma_cong_viec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  <c r="B53" s="33"/>
      <c r="C53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"/>
  <sheetViews>
    <sheetView workbookViewId="0">
      <selection activeCell="G8" sqref="G8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51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53</v>
      </c>
      <c r="B6" s="38" t="s">
        <v>20</v>
      </c>
      <c r="C6">
        <v>200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43" t="s">
        <v>68</v>
      </c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object_id(N'[dbo].[Process_Production]')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[dbo].[Process_Production]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[dbo].[Process_Production]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[ten_quy_trinh_sx] [nvarchar] (200)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 DEFAULT ('A'),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[dbo].[Process_Production]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[PK_Process_Production]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Process_Production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ma_quy_trinh_sx  { get; set; }</v>
      </c>
    </row>
    <row r="44" spans="1:12" x14ac:dyDescent="0.25">
      <c r="A44" s="33" t="s">
        <v>31</v>
      </c>
      <c r="B44" s="33" t="str">
        <f t="shared" si="1"/>
        <v>string</v>
      </c>
      <c r="C44" s="33" t="str">
        <f t="shared" si="2"/>
        <v>ten_quy_trinh_sx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zoomScaleNormal="100" workbookViewId="0">
      <selection activeCell="G8" sqref="G8"/>
    </sheetView>
  </sheetViews>
  <sheetFormatPr defaultRowHeight="13.2" x14ac:dyDescent="0.25"/>
  <cols>
    <col min="1" max="1" width="23.88671875" customWidth="1"/>
    <col min="2" max="2" width="15" customWidth="1"/>
    <col min="3" max="3" width="45.44140625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65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43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54</v>
      </c>
      <c r="B7" s="23" t="s">
        <v>19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33</v>
      </c>
      <c r="B8" s="23" t="s">
        <v>7</v>
      </c>
      <c r="C8" s="27">
        <v>32</v>
      </c>
      <c r="D8" s="23"/>
      <c r="E8" s="23"/>
      <c r="F8" s="23" t="b">
        <v>1</v>
      </c>
      <c r="G8" s="43" t="s">
        <v>68</v>
      </c>
      <c r="H8" s="23"/>
      <c r="I8" s="24"/>
      <c r="J8" s="25"/>
    </row>
    <row r="9" spans="1:12" x14ac:dyDescent="0.25">
      <c r="A9" s="22" t="s">
        <v>21</v>
      </c>
      <c r="B9" s="23" t="s">
        <v>9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23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30" t="s">
        <v>24</v>
      </c>
      <c r="B12" s="28" t="s">
        <v>20</v>
      </c>
      <c r="C12" s="29">
        <v>32</v>
      </c>
      <c r="D12" s="28"/>
      <c r="E12" s="28"/>
      <c r="F12" s="28" t="b">
        <v>1</v>
      </c>
      <c r="G12" s="23"/>
      <c r="H12" s="23"/>
      <c r="I12" s="24"/>
      <c r="J12" s="25"/>
    </row>
    <row r="13" spans="1:12" ht="13.8" thickBot="1" x14ac:dyDescent="0.3"/>
    <row r="14" spans="1:12" ht="13.8" thickBot="1" x14ac:dyDescent="0.3">
      <c r="A14" s="45" t="s">
        <v>10</v>
      </c>
      <c r="B14" s="46"/>
      <c r="C14" s="16"/>
      <c r="D14" s="17"/>
      <c r="E14" s="17"/>
      <c r="F14" s="18"/>
      <c r="G14" s="18"/>
      <c r="H14" s="18"/>
      <c r="I14" s="18"/>
      <c r="J14" s="18"/>
      <c r="K14" s="18"/>
      <c r="L14" s="18"/>
    </row>
    <row r="15" spans="1:12" x14ac:dyDescent="0.25">
      <c r="A15" s="5"/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5" t="str">
        <f>"if exists (select * from dbo.sysobjects where id = object_id(N'[dbo].["&amp;$B$1&amp;"]') and OBJECTPROPERTY(id, N'IsUserTable') = 1)"</f>
        <v>if exists (select * from dbo.sysobjects where id = object_id(N'[dbo].[Process_Production_Job]') and OBJECTPROPERTY(id, N'IsUserTable') = 1)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tr">
        <f>"drop table [dbo].["&amp;$B$1&amp;"]"</f>
        <v>drop table [dbo].[Process_Production_Job]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">
        <v>11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 t="str">
        <f>"CREATE TABLE [dbo].["&amp;$B$1&amp;"] ("</f>
        <v>CREATE TABLE [dbo].[Process_Production_Job] (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ref="B22:B2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[so_thu_tu] [int]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[trang_thai] [varchar] (32) NULL DEFAULT ('A'),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[ngay_tao]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[nguoi_tao] [nvarchar]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[ngay_cap_nhat]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>[nguoi_cap_nhat] [nvarchar] (32) NULL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">
        <v>12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tr">
        <f>"ALTER TABLE [dbo].["&amp;$B$1&amp;"] ADD"</f>
        <v>ALTER TABLE [dbo].[Process_Production_Job] ADD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 t="str">
        <f>"CONSTRAINT [PK_"&amp;$B$1&amp;"] PRIMARY KEY  CLUSTERED"</f>
        <v>CONSTRAINT [PK_Process_Production_Job] PRIMARY KEY  CLUSTERED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13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 t="str">
        <f>IF(D4=TRUE, "["&amp;A4&amp;"]"&amp;IF(D5="", "", ", "), "")</f>
        <v>[id]</v>
      </c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14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ht="13.8" thickBot="1" x14ac:dyDescent="0.3">
      <c r="A38" s="11" t="s">
        <v>11</v>
      </c>
      <c r="B38" s="12"/>
      <c r="C38" s="12"/>
      <c r="D38" s="12"/>
      <c r="E38" s="12"/>
      <c r="F38" s="13"/>
      <c r="G38" s="12"/>
      <c r="H38" s="12"/>
      <c r="I38" s="14"/>
      <c r="J38" s="14"/>
      <c r="K38" s="12"/>
      <c r="L38" s="15"/>
    </row>
    <row r="39" spans="1:12" x14ac:dyDescent="0.25">
      <c r="A39" s="2"/>
      <c r="B39" s="2"/>
      <c r="C39" t="s">
        <v>26</v>
      </c>
      <c r="D39" s="2"/>
      <c r="E39" s="2"/>
      <c r="F39" s="3"/>
      <c r="G39" s="2"/>
      <c r="H39" s="2"/>
      <c r="I39" s="4"/>
      <c r="J39" s="4"/>
      <c r="K39" s="2"/>
      <c r="L39" s="2"/>
    </row>
    <row r="40" spans="1:12" x14ac:dyDescent="0.25">
      <c r="A40" s="33" t="s">
        <v>27</v>
      </c>
      <c r="B40" s="33" t="str">
        <f>B1</f>
        <v>Process_Production_Job</v>
      </c>
      <c r="C40" s="33"/>
    </row>
    <row r="41" spans="1:12" x14ac:dyDescent="0.25">
      <c r="A41" s="33" t="s">
        <v>28</v>
      </c>
      <c r="B41" s="33"/>
      <c r="C41" s="33"/>
    </row>
    <row r="42" spans="1:12" x14ac:dyDescent="0.25">
      <c r="A42" s="33"/>
      <c r="B42" s="33" t="s">
        <v>29</v>
      </c>
      <c r="C42" s="33"/>
    </row>
    <row r="43" spans="1:12" x14ac:dyDescent="0.25">
      <c r="A43" s="33"/>
      <c r="B43" s="33" t="s">
        <v>30</v>
      </c>
      <c r="C43" s="33"/>
    </row>
    <row r="44" spans="1:12" x14ac:dyDescent="0.25">
      <c r="A44" s="33" t="s">
        <v>31</v>
      </c>
      <c r="B44" s="33" t="str">
        <f>IF(OR($B4="nvarchar",$B4="varchar"),"string",IF($B4="datetime","DateTime",$B4))</f>
        <v>int</v>
      </c>
      <c r="C44" s="33" t="str">
        <f>A4&amp;" "&amp;$C$39</f>
        <v>id  { get; set; }</v>
      </c>
    </row>
    <row r="45" spans="1:12" x14ac:dyDescent="0.25">
      <c r="A45" s="33" t="s">
        <v>31</v>
      </c>
      <c r="B45" s="33" t="str">
        <f t="shared" ref="B45:B52" si="1">IF(OR($B5="nvarchar",$B5="varchar"),"string",IF($B5="datetime","DateTime",$B5))</f>
        <v>string</v>
      </c>
      <c r="C45" s="33" t="str">
        <f t="shared" ref="C45:C52" si="2">A5&amp;" "&amp;$C$39</f>
        <v>ma_quy_trinh_sx  { get; set; }</v>
      </c>
    </row>
    <row r="46" spans="1:12" x14ac:dyDescent="0.25">
      <c r="A46" s="33" t="s">
        <v>31</v>
      </c>
      <c r="B46" s="33" t="str">
        <f t="shared" si="1"/>
        <v>string</v>
      </c>
      <c r="C46" s="33" t="str">
        <f t="shared" si="2"/>
        <v>ma_cong_viec  { get; set; }</v>
      </c>
    </row>
    <row r="47" spans="1:12" x14ac:dyDescent="0.25">
      <c r="A47" s="33" t="s">
        <v>31</v>
      </c>
      <c r="B47" s="33" t="str">
        <f t="shared" si="1"/>
        <v>int</v>
      </c>
      <c r="C47" s="33" t="str">
        <f t="shared" si="2"/>
        <v>so_thu_tu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trang_thai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</row>
  </sheetData>
  <mergeCells count="1">
    <mergeCell ref="A14:B14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activeCell="A9" sqref="A9:F13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69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4" t="s">
        <v>70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4" t="s">
        <v>71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4" t="s">
        <v>64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4" t="s">
        <v>64</v>
      </c>
      <c r="B8" s="23" t="s">
        <v>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43" t="s">
        <v>68</v>
      </c>
      <c r="H9" s="23"/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5" t="s">
        <v>10</v>
      </c>
      <c r="B15" s="46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object_id(N'[dbo].[Working_Time]')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[dbo].[Working_Time]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[dbo].[Working_Time]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[ma_ca_lam_viec]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[ten_ca_lam_viec]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[thoi_gian_bat_dau] [datetime]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[thoi_gian_bat_dau] [datetime] NOT NULL, </v>
      </c>
      <c r="C26" s="5"/>
      <c r="D26" s="5"/>
      <c r="E26" s="42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 DEFAULT ('A'),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[dbo].[Working_Time]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[PK_Working_Time]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Working_Time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ma_ca_lam_viec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ten_ca_lam_viec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thoi_gian_bat_dau  { get; set; }</v>
      </c>
    </row>
    <row r="52" spans="1:3" x14ac:dyDescent="0.25">
      <c r="A52" s="33" t="s">
        <v>31</v>
      </c>
      <c r="B52" s="33" t="str">
        <f t="shared" si="1"/>
        <v>DateTime</v>
      </c>
      <c r="C52" s="33" t="str">
        <f t="shared" si="2"/>
        <v>thoi_gian_bat_dau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0"/>
  <sheetViews>
    <sheetView workbookViewId="0">
      <selection activeCell="F7" sqref="A7:F11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73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74</v>
      </c>
      <c r="B6" s="23" t="s">
        <v>9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43" t="s">
        <v>68</v>
      </c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object_id(N'[dbo].[Check_In]')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[dbo].[Check_In]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[dbo].[Check_In]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[ngay] [datetime]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 DEFAULT ('A'),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[dbo].[Check_In]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[PK_Check_In]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Check_In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ma_nhan_vien  { get; set; }</v>
      </c>
    </row>
    <row r="44" spans="1:12" x14ac:dyDescent="0.25">
      <c r="A44" s="33" t="s">
        <v>31</v>
      </c>
      <c r="B44" s="33" t="str">
        <f t="shared" si="1"/>
        <v>DateTime</v>
      </c>
      <c r="C44" s="33" t="str">
        <f t="shared" si="2"/>
        <v>ngay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  <row r="60" spans="1:3" x14ac:dyDescent="0.25">
      <c r="B60" t="s">
        <v>73</v>
      </c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1"/>
  <sheetViews>
    <sheetView tabSelected="1" topLeftCell="A52" workbookViewId="0">
      <selection activeCell="A64" sqref="A64:C80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55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89</v>
      </c>
      <c r="B5" s="23" t="s">
        <v>20</v>
      </c>
      <c r="C5" s="27">
        <v>500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56</v>
      </c>
      <c r="B6" s="23" t="s">
        <v>7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57</v>
      </c>
      <c r="B7" s="23" t="s">
        <v>20</v>
      </c>
      <c r="C7" s="27">
        <v>200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5">
      <c r="A8" s="22" t="s">
        <v>58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75</v>
      </c>
      <c r="B9" s="23" t="s">
        <v>20</v>
      </c>
      <c r="C9" s="27">
        <v>200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38</v>
      </c>
      <c r="B10" s="23" t="s">
        <v>19</v>
      </c>
      <c r="C10" s="27"/>
      <c r="D10" s="23"/>
      <c r="E10" s="23"/>
      <c r="F10" s="23" t="b">
        <v>0</v>
      </c>
      <c r="G10" s="23"/>
      <c r="H10" s="23"/>
      <c r="I10" s="24"/>
      <c r="J10" s="25"/>
    </row>
    <row r="11" spans="1:10" x14ac:dyDescent="0.25">
      <c r="A11" s="22" t="s">
        <v>52</v>
      </c>
      <c r="B11" s="23" t="s">
        <v>7</v>
      </c>
      <c r="C11" s="27">
        <v>40</v>
      </c>
      <c r="D11" s="23"/>
      <c r="E11" s="23"/>
      <c r="F11" s="23" t="b">
        <v>0</v>
      </c>
      <c r="G11" s="23"/>
      <c r="H11" s="23"/>
      <c r="I11" s="24"/>
      <c r="J11" s="25"/>
    </row>
    <row r="12" spans="1:10" x14ac:dyDescent="0.25">
      <c r="A12" s="22" t="s">
        <v>59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60</v>
      </c>
      <c r="B13" s="23" t="s">
        <v>20</v>
      </c>
      <c r="C13" s="27">
        <v>50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61</v>
      </c>
      <c r="B14" s="23" t="s">
        <v>45</v>
      </c>
      <c r="C14" s="27"/>
      <c r="D14" s="23"/>
      <c r="E14" s="23"/>
      <c r="F14" s="23" t="b">
        <v>0</v>
      </c>
      <c r="G14" s="23"/>
      <c r="H14" s="23"/>
      <c r="I14" s="24"/>
      <c r="J14" s="25"/>
    </row>
    <row r="15" spans="1:10" x14ac:dyDescent="0.25">
      <c r="A15" s="22" t="s">
        <v>33</v>
      </c>
      <c r="B15" s="23" t="s">
        <v>7</v>
      </c>
      <c r="C15" s="27">
        <v>32</v>
      </c>
      <c r="D15" s="23"/>
      <c r="E15" s="23"/>
      <c r="F15" s="23" t="b">
        <v>1</v>
      </c>
      <c r="G15" s="43" t="s">
        <v>86</v>
      </c>
      <c r="H15" s="23"/>
      <c r="I15" s="24"/>
      <c r="J15" s="25"/>
    </row>
    <row r="16" spans="1:10" x14ac:dyDescent="0.25">
      <c r="A16" s="22" t="s">
        <v>72</v>
      </c>
      <c r="B16" s="23" t="s">
        <v>20</v>
      </c>
      <c r="C16" s="27">
        <v>1000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21</v>
      </c>
      <c r="B17" s="23" t="s">
        <v>9</v>
      </c>
      <c r="C17" s="27"/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22</v>
      </c>
      <c r="B18" s="23" t="s">
        <v>20</v>
      </c>
      <c r="C18" s="27">
        <v>32</v>
      </c>
      <c r="D18" s="23"/>
      <c r="E18" s="23"/>
      <c r="F18" s="23" t="b">
        <v>1</v>
      </c>
      <c r="G18" s="23"/>
      <c r="H18" s="23"/>
      <c r="I18" s="24"/>
      <c r="J18" s="25"/>
    </row>
    <row r="19" spans="1:12" x14ac:dyDescent="0.25">
      <c r="A19" s="22" t="s">
        <v>23</v>
      </c>
      <c r="B19" s="23" t="s">
        <v>9</v>
      </c>
      <c r="C19" s="27"/>
      <c r="D19" s="23"/>
      <c r="E19" s="23"/>
      <c r="F19" s="23" t="b">
        <v>1</v>
      </c>
      <c r="G19" s="23"/>
      <c r="H19" s="23"/>
      <c r="I19" s="24"/>
      <c r="J19" s="25"/>
    </row>
    <row r="20" spans="1:12" x14ac:dyDescent="0.25">
      <c r="A20" s="22" t="s">
        <v>24</v>
      </c>
      <c r="B20" s="23" t="s">
        <v>20</v>
      </c>
      <c r="C20" s="27">
        <v>32</v>
      </c>
      <c r="D20" s="23"/>
      <c r="E20" s="23"/>
      <c r="F20" s="23" t="b">
        <v>1</v>
      </c>
      <c r="G20" s="23"/>
      <c r="H20" s="23"/>
      <c r="I20" s="24"/>
      <c r="J20" s="25"/>
    </row>
    <row r="21" spans="1:12" ht="13.8" thickBot="1" x14ac:dyDescent="0.3"/>
    <row r="22" spans="1:12" ht="13.8" thickBot="1" x14ac:dyDescent="0.3">
      <c r="A22" s="45" t="s">
        <v>10</v>
      </c>
      <c r="B22" s="46"/>
      <c r="C22" s="16"/>
      <c r="D22" s="17"/>
      <c r="E22" s="17"/>
      <c r="F22" s="18"/>
      <c r="G22" s="18"/>
      <c r="H22" s="18"/>
      <c r="I22" s="18"/>
      <c r="J22" s="18"/>
      <c r="K22" s="18"/>
      <c r="L22" s="18"/>
    </row>
    <row r="23" spans="1:12" x14ac:dyDescent="0.25">
      <c r="A23" s="5"/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5" t="str">
        <f>"if exists (select * from dbo.sysobjects where id = object_id(N'[dbo].["&amp;$B$1&amp;"]') and OBJECTPROPERTY(id, N'IsUserTable') = 1)"</f>
        <v>if exists (select * from dbo.sysobjects where id = object_id(N'[dbo].[Lenh_San_Xuat]') and OBJECTPROPERTY(id, N'IsUserTable') = 1)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9" t="str">
        <f>"drop table [dbo].["&amp;$B$1&amp;"]"</f>
        <v>drop table [dbo].[Lenh_San_Xuat]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9" t="s">
        <v>11</v>
      </c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9"/>
      <c r="B27" s="5"/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 t="str">
        <f>"CREATE TABLE [dbo].["&amp;$B$1&amp;"] ("</f>
        <v>CREATE TABLE [dbo].[Lenh_San_Xuat] (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("&amp;G4&amp;")","")&amp;IF(A6&lt;&gt;"",", ", "")</f>
        <v xml:space="preserve">[id] [int] IDENTITY (1,1)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ref="B30:B45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("&amp;G5&amp;")","")&amp;IF(A7&lt;&gt;"",", ", "")</f>
        <v xml:space="preserve">[noi_dung_lenh_sx] [nvarchar] (500)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[ma_lenh_sx] [varchar] (40)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[don_vi_mua_hang] [nvarchar] (200)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[ma_san_pham_sx] [nvarchar] (100)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 xml:space="preserve">[ten_san_pham_sx] [nvarchar] (200)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 xml:space="preserve">[so_luong] [int]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 t="shared" si="0"/>
        <v xml:space="preserve">[ma_quy_trinh_sx] [varchar] (40)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 t="shared" si="0"/>
        <v xml:space="preserve">[thoi_gian_du_kien] [datetime]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 t="shared" si="0"/>
        <v xml:space="preserve">[ban_ve] [nvarchar] (50)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si="0"/>
        <v xml:space="preserve">[khoi_luong] [double] ()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[trang_thai] [varchar] (32) NULL DEFAULT ('N'),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[ghi_chu] [nvarchar] (1000)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 xml:space="preserve">[ngay_tao] [datetime]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 t="shared" si="0"/>
        <v xml:space="preserve">[nguoi_tao] [nvarchar] (32) NULL,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10"/>
      <c r="B44" s="5" t="str">
        <f t="shared" si="0"/>
        <v>[ngay_cap_nhat] [datetime] NULL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10"/>
      <c r="B45" s="5" t="str">
        <f t="shared" si="0"/>
        <v xml:space="preserve">[nguoi_cap_nhat] [nvarchar] (32)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 t="s">
        <v>12</v>
      </c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 t="s">
        <v>11</v>
      </c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/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 t="str">
        <f>"ALTER TABLE [dbo].["&amp;$B$1&amp;"] ADD"</f>
        <v>ALTER TABLE [dbo].[Lenh_San_Xuat] ADD</v>
      </c>
      <c r="B49" s="5"/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 t="str">
        <f>"CONSTRAINT [PK_"&amp;$B$1&amp;"] PRIMARY KEY  CLUSTERED"</f>
        <v>CONSTRAINT [PK_Lenh_San_Xuat] PRIMARY KEY  CLUSTERED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9"/>
      <c r="B51" s="5" t="s">
        <v>13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5">
      <c r="A52" s="9"/>
      <c r="B52" s="5"/>
      <c r="C52" s="5" t="str">
        <f>IF(D4=TRUE, "["&amp;A4&amp;"]"&amp;IF(D6="", "", ", "), "")</f>
        <v>[id]</v>
      </c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5">
      <c r="A53" s="9"/>
      <c r="B53" s="5" t="s">
        <v>14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ht="13.8" thickBot="1" x14ac:dyDescent="0.3">
      <c r="A54" s="11" t="s">
        <v>11</v>
      </c>
      <c r="B54" s="12"/>
      <c r="C54" s="12"/>
      <c r="D54" s="12"/>
      <c r="E54" s="12"/>
      <c r="F54" s="13"/>
      <c r="G54" s="12"/>
      <c r="H54" s="12"/>
      <c r="I54" s="14"/>
      <c r="J54" s="14"/>
      <c r="K54" s="12"/>
      <c r="L54" s="15"/>
    </row>
    <row r="55" spans="1:12" x14ac:dyDescent="0.25">
      <c r="A55" s="2"/>
      <c r="B55" s="2"/>
      <c r="C55" s="2"/>
      <c r="D55" s="2"/>
      <c r="E55" s="2"/>
      <c r="F55" s="3"/>
      <c r="G55" s="2"/>
      <c r="H55" s="2"/>
      <c r="I55" s="4"/>
      <c r="J55" s="4"/>
      <c r="K55" s="2"/>
      <c r="L55" s="2"/>
    </row>
    <row r="56" spans="1:12" x14ac:dyDescent="0.25">
      <c r="C56" t="s">
        <v>26</v>
      </c>
    </row>
    <row r="60" spans="1:12" x14ac:dyDescent="0.25">
      <c r="A60" s="33" t="s">
        <v>27</v>
      </c>
      <c r="B60" s="33" t="str">
        <f>B1</f>
        <v>Lenh_San_Xuat</v>
      </c>
      <c r="C60" s="33"/>
    </row>
    <row r="61" spans="1:12" x14ac:dyDescent="0.25">
      <c r="A61" s="33" t="s">
        <v>28</v>
      </c>
      <c r="B61" s="33"/>
      <c r="C61" s="33"/>
    </row>
    <row r="62" spans="1:12" x14ac:dyDescent="0.25">
      <c r="A62" s="33"/>
      <c r="B62" s="33" t="s">
        <v>29</v>
      </c>
      <c r="C62" s="33"/>
    </row>
    <row r="63" spans="1:12" x14ac:dyDescent="0.25">
      <c r="A63" s="33"/>
      <c r="B63" s="33" t="s">
        <v>30</v>
      </c>
      <c r="C63" s="33"/>
    </row>
    <row r="64" spans="1:12" x14ac:dyDescent="0.25">
      <c r="A64" s="33" t="s">
        <v>31</v>
      </c>
      <c r="B64" s="33" t="str">
        <f>IF(OR($B4="nvarchar",$B4="varchar"),"string",IF($B4="datetime","DateTime",$B4))</f>
        <v>int</v>
      </c>
      <c r="C64" s="33" t="str">
        <f>A4&amp;" "&amp;$C$56</f>
        <v>id  { get; set; }</v>
      </c>
    </row>
    <row r="65" spans="1:3" x14ac:dyDescent="0.25">
      <c r="A65" s="33" t="s">
        <v>31</v>
      </c>
      <c r="B65" s="33" t="str">
        <f t="shared" ref="B65:B80" si="1">IF(OR($B5="nvarchar",$B5="varchar"),"string",IF($B5="datetime","DateTime",$B5))</f>
        <v>string</v>
      </c>
      <c r="C65" s="33" t="str">
        <f t="shared" ref="C65:C80" si="2">A5&amp;" "&amp;$C$56</f>
        <v>noi_dung_lenh_sx  { get; set; }</v>
      </c>
    </row>
    <row r="66" spans="1:3" x14ac:dyDescent="0.25">
      <c r="A66" s="33" t="s">
        <v>31</v>
      </c>
      <c r="B66" s="33" t="str">
        <f t="shared" si="1"/>
        <v>string</v>
      </c>
      <c r="C66" s="33" t="str">
        <f t="shared" si="2"/>
        <v>ma_lenh_sx  { get; set; }</v>
      </c>
    </row>
    <row r="67" spans="1:3" x14ac:dyDescent="0.25">
      <c r="A67" s="33" t="s">
        <v>31</v>
      </c>
      <c r="B67" s="33" t="str">
        <f t="shared" si="1"/>
        <v>string</v>
      </c>
      <c r="C67" s="33" t="str">
        <f t="shared" si="2"/>
        <v>don_vi_mua_hang  { get; set; }</v>
      </c>
    </row>
    <row r="68" spans="1:3" x14ac:dyDescent="0.25">
      <c r="A68" s="33" t="s">
        <v>31</v>
      </c>
      <c r="B68" s="33" t="str">
        <f t="shared" si="1"/>
        <v>string</v>
      </c>
      <c r="C68" s="33" t="str">
        <f t="shared" si="2"/>
        <v>ma_san_pham_sx  { get; set; }</v>
      </c>
    </row>
    <row r="69" spans="1:3" x14ac:dyDescent="0.25">
      <c r="A69" s="33" t="s">
        <v>31</v>
      </c>
      <c r="B69" s="33" t="str">
        <f t="shared" si="1"/>
        <v>string</v>
      </c>
      <c r="C69" s="33" t="str">
        <f t="shared" si="2"/>
        <v>ten_san_pham_sx  { get; set; }</v>
      </c>
    </row>
    <row r="70" spans="1:3" x14ac:dyDescent="0.25">
      <c r="A70" s="33" t="s">
        <v>31</v>
      </c>
      <c r="B70" s="33" t="str">
        <f t="shared" si="1"/>
        <v>int</v>
      </c>
      <c r="C70" s="33" t="str">
        <f t="shared" si="2"/>
        <v>so_luong  { get; set; }</v>
      </c>
    </row>
    <row r="71" spans="1:3" x14ac:dyDescent="0.25">
      <c r="A71" s="33" t="s">
        <v>31</v>
      </c>
      <c r="B71" s="33" t="str">
        <f t="shared" si="1"/>
        <v>string</v>
      </c>
      <c r="C71" s="33" t="str">
        <f t="shared" si="2"/>
        <v>ma_quy_trinh_sx  { get; set; }</v>
      </c>
    </row>
    <row r="72" spans="1:3" x14ac:dyDescent="0.25">
      <c r="A72" s="33" t="s">
        <v>31</v>
      </c>
      <c r="B72" s="33" t="str">
        <f t="shared" si="1"/>
        <v>DateTime</v>
      </c>
      <c r="C72" s="33" t="str">
        <f t="shared" si="2"/>
        <v>thoi_gian_du_kien  { get; set; }</v>
      </c>
    </row>
    <row r="73" spans="1:3" x14ac:dyDescent="0.25">
      <c r="A73" s="33" t="s">
        <v>31</v>
      </c>
      <c r="B73" s="33" t="str">
        <f t="shared" si="1"/>
        <v>string</v>
      </c>
      <c r="C73" s="33" t="str">
        <f t="shared" si="2"/>
        <v>ban_ve  { get; set; }</v>
      </c>
    </row>
    <row r="74" spans="1:3" x14ac:dyDescent="0.25">
      <c r="A74" s="33" t="s">
        <v>31</v>
      </c>
      <c r="B74" s="33" t="str">
        <f t="shared" si="1"/>
        <v>double</v>
      </c>
      <c r="C74" s="33" t="str">
        <f t="shared" si="2"/>
        <v>khoi_luong  { get; set; }</v>
      </c>
    </row>
    <row r="75" spans="1:3" x14ac:dyDescent="0.25">
      <c r="A75" s="33" t="s">
        <v>31</v>
      </c>
      <c r="B75" s="33" t="str">
        <f t="shared" si="1"/>
        <v>string</v>
      </c>
      <c r="C75" s="33" t="str">
        <f t="shared" si="2"/>
        <v>trang_thai  { get; set; }</v>
      </c>
    </row>
    <row r="76" spans="1:3" x14ac:dyDescent="0.25">
      <c r="A76" s="33" t="s">
        <v>31</v>
      </c>
      <c r="B76" s="33" t="str">
        <f t="shared" si="1"/>
        <v>string</v>
      </c>
      <c r="C76" s="33" t="str">
        <f t="shared" si="2"/>
        <v>ghi_chu  { get; set; }</v>
      </c>
    </row>
    <row r="77" spans="1:3" x14ac:dyDescent="0.25">
      <c r="A77" s="33" t="s">
        <v>31</v>
      </c>
      <c r="B77" s="33" t="str">
        <f t="shared" si="1"/>
        <v>DateTime</v>
      </c>
      <c r="C77" s="33" t="str">
        <f t="shared" si="2"/>
        <v>ngay_tao  { get; set; }</v>
      </c>
    </row>
    <row r="78" spans="1:3" x14ac:dyDescent="0.25">
      <c r="A78" s="33" t="s">
        <v>31</v>
      </c>
      <c r="B78" s="33" t="str">
        <f t="shared" si="1"/>
        <v>string</v>
      </c>
      <c r="C78" s="33" t="str">
        <f t="shared" si="2"/>
        <v>nguoi_tao  { get; set; }</v>
      </c>
    </row>
    <row r="79" spans="1:3" x14ac:dyDescent="0.25">
      <c r="A79" s="33" t="s">
        <v>31</v>
      </c>
      <c r="B79" s="33" t="str">
        <f t="shared" si="1"/>
        <v>DateTime</v>
      </c>
      <c r="C79" s="33" t="str">
        <f t="shared" si="2"/>
        <v>ngay_cap_nhat  { get; set; }</v>
      </c>
    </row>
    <row r="80" spans="1:3" x14ac:dyDescent="0.25">
      <c r="A80" s="33" t="s">
        <v>31</v>
      </c>
      <c r="B80" s="33" t="str">
        <f t="shared" si="1"/>
        <v>string</v>
      </c>
      <c r="C80" s="33" t="str">
        <f t="shared" si="2"/>
        <v>nguoi_cap_nhat  { get; set; }</v>
      </c>
    </row>
    <row r="81" spans="1:3" ht="14.4" customHeight="1" x14ac:dyDescent="0.25">
      <c r="A81" s="33" t="s">
        <v>32</v>
      </c>
      <c r="B81" s="33"/>
      <c r="C81" s="33" t="str">
        <f>IF($B22="nvarchar","("&amp;$C$6&amp;")",IF($B22="varchar","("&amp;$C22&amp;")",""))</f>
        <v/>
      </c>
    </row>
  </sheetData>
  <mergeCells count="1">
    <mergeCell ref="A22:B22"/>
  </mergeCells>
  <hyperlinks>
    <hyperlink ref="D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6"/>
  <sheetViews>
    <sheetView workbookViewId="0">
      <selection activeCell="H6" sqref="H6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63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88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56</v>
      </c>
      <c r="B6" s="23" t="s">
        <v>7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52</v>
      </c>
      <c r="B7" s="23" t="s">
        <v>7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ht="14.4" x14ac:dyDescent="0.3">
      <c r="A8" s="40" t="s">
        <v>43</v>
      </c>
      <c r="B8" s="23" t="s">
        <v>7</v>
      </c>
      <c r="C8" s="27">
        <v>40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74</v>
      </c>
      <c r="B9" s="23" t="s">
        <v>9</v>
      </c>
      <c r="C9" s="27"/>
      <c r="D9" s="23"/>
      <c r="E9" s="23"/>
      <c r="F9" s="23" t="b">
        <v>1</v>
      </c>
      <c r="G9" s="23" t="s">
        <v>85</v>
      </c>
      <c r="H9" s="23"/>
      <c r="I9" s="24"/>
      <c r="J9" s="25"/>
    </row>
    <row r="10" spans="1:10" x14ac:dyDescent="0.25">
      <c r="A10" s="22" t="s">
        <v>59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0" x14ac:dyDescent="0.25">
      <c r="A11" s="22" t="s">
        <v>33</v>
      </c>
      <c r="B11" s="23" t="s">
        <v>7</v>
      </c>
      <c r="C11" s="27">
        <v>32</v>
      </c>
      <c r="D11" s="23"/>
      <c r="E11" s="23"/>
      <c r="F11" s="23" t="b">
        <v>1</v>
      </c>
      <c r="G11" s="43" t="s">
        <v>68</v>
      </c>
      <c r="H11" s="23"/>
      <c r="I11" s="24"/>
      <c r="J11" s="25"/>
    </row>
    <row r="12" spans="1:10" x14ac:dyDescent="0.25">
      <c r="A12" s="22" t="s">
        <v>21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22</v>
      </c>
      <c r="B13" s="23" t="s">
        <v>20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23</v>
      </c>
      <c r="B14" s="23" t="s">
        <v>9</v>
      </c>
      <c r="C14" s="27"/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24</v>
      </c>
      <c r="B15" s="23" t="s">
        <v>20</v>
      </c>
      <c r="C15" s="27">
        <v>32</v>
      </c>
      <c r="D15" s="23"/>
      <c r="E15" s="23"/>
      <c r="F15" s="23" t="b">
        <v>1</v>
      </c>
      <c r="G15" s="23"/>
      <c r="H15" s="23"/>
      <c r="I15" s="24"/>
      <c r="J15" s="25"/>
    </row>
    <row r="16" spans="1:10" ht="13.8" thickBot="1" x14ac:dyDescent="0.3"/>
    <row r="17" spans="1:12" ht="13.8" thickBot="1" x14ac:dyDescent="0.3">
      <c r="A17" s="45" t="s">
        <v>10</v>
      </c>
      <c r="B17" s="46"/>
      <c r="C17" s="16"/>
      <c r="D17" s="17"/>
      <c r="E17" s="17"/>
      <c r="F17" s="18"/>
      <c r="G17" s="18"/>
      <c r="H17" s="18"/>
      <c r="I17" s="18"/>
      <c r="J17" s="18"/>
      <c r="K17" s="18"/>
      <c r="L17" s="18"/>
    </row>
    <row r="18" spans="1:12" x14ac:dyDescent="0.25">
      <c r="A18" s="5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5" t="str">
        <f>"if exists (select * from dbo.sysobjects where id = object_id(N'[dbo].["&amp;$B$1&amp;"]') and OBJECTPROPERTY(id, N'IsUserTable') = 1)"</f>
        <v>if exists (select * from dbo.sysobjects where id = object_id(N'[dbo].[Phan_Cong_Nhiem_Vu]') and OBJECTPROPERTY(id, N'IsUserTable') = 1)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tr">
        <f>"drop table [dbo].["&amp;$B$1&amp;"]"</f>
        <v>drop table [dbo].[Phan_Cong_Nhiem_Vu]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 t="s">
        <v>11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/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 t="str">
        <f>"CREATE TABLE [dbo].["&amp;$B$1&amp;"] ("</f>
        <v>CREATE TABLE [dbo].[Phan_Cong_Nhiem_Vu] (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("&amp;G4&amp;")","")&amp;IF(A6&lt;&gt;"",", ", "")</f>
        <v xml:space="preserve">[id] [int] IDENTITY (1,1)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ref="B25:B35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("&amp;G5&amp;")","")&amp;IF(A7&lt;&gt;"",", ", "")</f>
        <v xml:space="preserve">[ma_pcnv]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[ma_lenh_sx] [varchar] (40)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[ma_quy_trinh_sx]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[ma_cong_viec]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[ngay] [datetime] NULL DEFAULT (GETDATE()),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[thoi_gian_du_kien]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[trang_thai] [varchar] (32) NULL DEFAULT ('A'),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[ngay_tao]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[nguoi_tao] [nvarchar] (32)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>[ngay_cap_nhat] [datetime] NULL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 xml:space="preserve">[nguoi_cap_nhat] [nvarchar] (32)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 t="s">
        <v>12</v>
      </c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">
        <v>11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 t="str">
        <f>"ALTER TABLE [dbo].["&amp;$B$1&amp;"] ADD"</f>
        <v>ALTER TABLE [dbo].[Phan_Cong_Nhiem_Vu] ADD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 t="str">
        <f>"CONSTRAINT [PK_"&amp;$B$1&amp;"] PRIMARY KEY  CLUSTERED"</f>
        <v>CONSTRAINT [PK_Phan_Cong_Nhiem_Vu] PRIMARY KEY  CLUSTERED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 t="s">
        <v>13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IF(D4=TRUE, "["&amp;A4&amp;"]"&amp;IF(D6="", "", ", "), "")</f>
        <v>[id]</v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Phan_Cong_Nhiem_Vu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5" si="1">IF(OR($B5="nvarchar",$B5="varchar"),"string",IF($B5="datetime","DateTime",$B5))</f>
        <v>string</v>
      </c>
      <c r="C55" s="33" t="str">
        <f t="shared" ref="C55:C65" si="2">A5&amp;" "&amp;$C$46</f>
        <v>ma_pcnv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ma_lenh_sx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ma_quy_trinh_sx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ma_cong_viec  { get; set; }</v>
      </c>
    </row>
    <row r="59" spans="1:3" x14ac:dyDescent="0.25">
      <c r="A59" s="33" t="s">
        <v>31</v>
      </c>
      <c r="B59" s="33" t="str">
        <f t="shared" si="1"/>
        <v>DateTime</v>
      </c>
      <c r="C59" s="33" t="str">
        <f t="shared" si="2"/>
        <v>ngay  { get; set; }</v>
      </c>
    </row>
    <row r="60" spans="1:3" x14ac:dyDescent="0.25">
      <c r="A60" s="33" t="s">
        <v>31</v>
      </c>
      <c r="B60" s="33" t="str">
        <f t="shared" si="1"/>
        <v>DateTime</v>
      </c>
      <c r="C60" s="33" t="str">
        <f t="shared" si="2"/>
        <v>thoi_gian_du_kien  { get; set; }</v>
      </c>
    </row>
    <row r="61" spans="1:3" x14ac:dyDescent="0.25">
      <c r="A61" s="33" t="s">
        <v>31</v>
      </c>
      <c r="B61" s="33" t="str">
        <f t="shared" si="1"/>
        <v>string</v>
      </c>
      <c r="C61" s="33" t="str">
        <f t="shared" si="2"/>
        <v>trang_thai  { get; set; }</v>
      </c>
    </row>
    <row r="62" spans="1:3" x14ac:dyDescent="0.25">
      <c r="A62" s="33" t="s">
        <v>31</v>
      </c>
      <c r="B62" s="33" t="str">
        <f t="shared" si="1"/>
        <v>DateTime</v>
      </c>
      <c r="C62" s="33" t="str">
        <f t="shared" si="2"/>
        <v>ngay_tao  { get; set; }</v>
      </c>
    </row>
    <row r="63" spans="1:3" x14ac:dyDescent="0.25">
      <c r="A63" s="33" t="s">
        <v>31</v>
      </c>
      <c r="B63" s="33" t="str">
        <f t="shared" si="1"/>
        <v>string</v>
      </c>
      <c r="C63" s="33" t="str">
        <f t="shared" si="2"/>
        <v>nguoi_tao  { get; set; }</v>
      </c>
    </row>
    <row r="64" spans="1:3" x14ac:dyDescent="0.25">
      <c r="A64" s="33" t="s">
        <v>31</v>
      </c>
      <c r="B64" s="33" t="str">
        <f t="shared" si="1"/>
        <v>DateTime</v>
      </c>
      <c r="C64" s="33" t="str">
        <f t="shared" si="2"/>
        <v>ngay_cap_nhat  { get; set; }</v>
      </c>
    </row>
    <row r="65" spans="1:3" x14ac:dyDescent="0.25">
      <c r="A65" s="33" t="s">
        <v>31</v>
      </c>
      <c r="B65" s="33" t="str">
        <f t="shared" si="1"/>
        <v>string</v>
      </c>
      <c r="C65" s="33" t="str">
        <f t="shared" si="2"/>
        <v>nguoi_cap_nhat  { get; set; }</v>
      </c>
    </row>
    <row r="66" spans="1:3" ht="14.4" customHeight="1" x14ac:dyDescent="0.25">
      <c r="A66" s="33" t="s">
        <v>32</v>
      </c>
      <c r="B66" s="33"/>
      <c r="C66" s="33" t="str">
        <f>IF($B17="nvarchar","("&amp;$C$6&amp;")",IF($B17="varchar","("&amp;$C17&amp;")",""))</f>
        <v/>
      </c>
    </row>
  </sheetData>
  <mergeCells count="1">
    <mergeCell ref="A17:B17"/>
  </mergeCells>
  <hyperlinks>
    <hyperlink ref="D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9"/>
  <sheetViews>
    <sheetView workbookViewId="0">
      <selection activeCell="B6" sqref="B6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87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88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56</v>
      </c>
      <c r="B6" s="23" t="s">
        <v>7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52</v>
      </c>
      <c r="B7" s="23" t="s">
        <v>7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ht="14.4" x14ac:dyDescent="0.3">
      <c r="A8" s="40" t="s">
        <v>43</v>
      </c>
      <c r="B8" s="23" t="s">
        <v>7</v>
      </c>
      <c r="C8" s="27">
        <v>40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40</v>
      </c>
      <c r="B9" s="23" t="s">
        <v>7</v>
      </c>
      <c r="C9" s="27">
        <v>100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74</v>
      </c>
      <c r="B10" s="23" t="s">
        <v>9</v>
      </c>
      <c r="C10" s="27"/>
      <c r="D10" s="23"/>
      <c r="E10" s="23"/>
      <c r="F10" s="23" t="b">
        <v>1</v>
      </c>
      <c r="G10" s="23" t="s">
        <v>85</v>
      </c>
      <c r="H10" s="23"/>
      <c r="I10" s="24"/>
      <c r="J10" s="25"/>
    </row>
    <row r="11" spans="1:10" x14ac:dyDescent="0.25">
      <c r="A11" s="22" t="s">
        <v>59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5">
      <c r="A12" s="22" t="s">
        <v>33</v>
      </c>
      <c r="B12" s="23" t="s">
        <v>7</v>
      </c>
      <c r="C12" s="27">
        <v>32</v>
      </c>
      <c r="D12" s="23"/>
      <c r="E12" s="23"/>
      <c r="F12" s="23" t="b">
        <v>1</v>
      </c>
      <c r="G12" s="43" t="s">
        <v>68</v>
      </c>
      <c r="H12" s="23"/>
      <c r="I12" s="24"/>
      <c r="J12" s="25"/>
    </row>
    <row r="13" spans="1:10" x14ac:dyDescent="0.25">
      <c r="A13" s="22" t="s">
        <v>21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22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23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24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ht="13.8" thickBot="1" x14ac:dyDescent="0.3"/>
    <row r="18" spans="1:12" ht="13.8" thickBot="1" x14ac:dyDescent="0.3">
      <c r="A18" s="45" t="s">
        <v>10</v>
      </c>
      <c r="B18" s="46"/>
      <c r="C18" s="16"/>
      <c r="D18" s="17"/>
      <c r="E18" s="17"/>
      <c r="F18" s="18"/>
      <c r="G18" s="18"/>
      <c r="H18" s="18"/>
      <c r="I18" s="18"/>
      <c r="J18" s="18"/>
      <c r="K18" s="18"/>
      <c r="L18" s="18"/>
    </row>
    <row r="19" spans="1:12" x14ac:dyDescent="0.25">
      <c r="A19" s="5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5" t="str">
        <f>"if exists (select * from dbo.sysobjects where id = object_id(N'[dbo].["&amp;$B$1&amp;"]') and OBJECTPROPERTY(id, N'IsUserTable') = 1)"</f>
        <v>if exists (select * from dbo.sysobjects where id = object_id(N'[dbo].[PCNV_Employee]') and OBJECTPROPERTY(id, N'IsUserTable') = 1)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 t="str">
        <f>"drop table [dbo].["&amp;$B$1&amp;"]"</f>
        <v>drop table [dbo].[PCNV_Employee]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 t="s">
        <v>11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/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 t="str">
        <f>"CREATE TABLE [dbo].["&amp;$B$1&amp;"] ("</f>
        <v>CREATE TABLE [dbo].[PCNV_Employee] (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("&amp;G4&amp;")","")&amp;IF(A6&lt;&gt;"",", ", "")</f>
        <v xml:space="preserve">[id] [int] IDENTITY (1,1)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ref="B26:B3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("&amp;G5&amp;")","")&amp;IF(A7&lt;&gt;"",", ", "")</f>
        <v xml:space="preserve">[ma_pcnv] [varchar] (20)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[ma_lenh_sx]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[ma_quy_trinh_sx]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[ma_cong_viec] [varchar] (40)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[ma_nhan_vien] [varchar] (100)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[ngay] [datetime] NULL DEFAULT (GETDATE()),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[thoi_gian_du_kien]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[trang_thai] [varchar] (32) NULL DEFAULT ('A'),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 xml:space="preserve">[ngay_tao] [datetime]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 xml:space="preserve">[nguoi_tao] [nvarchar] (32)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 t="shared" si="0"/>
        <v>[ngay_cap_nhat] [datetime] NULL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 t="shared" si="0"/>
        <v xml:space="preserve">[nguoi_cap_nhat] [nvarchar] (32)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 t="s">
        <v>12</v>
      </c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 t="s">
        <v>11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 t="str">
        <f>"ALTER TABLE [dbo].["&amp;$B$1&amp;"] ADD"</f>
        <v>ALTER TABLE [dbo].[PCNV_Employee] ADD</v>
      </c>
      <c r="B41" s="5"/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 t="str">
        <f>"CONSTRAINT [PK_"&amp;$B$1&amp;"] PRIMARY KEY  CLUSTERED"</f>
        <v>CONSTRAINT [PK_PCNV_Employee] PRIMARY KEY  CLUSTERED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13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/>
      <c r="B44" s="5"/>
      <c r="C44" s="5" t="str">
        <f>IF(D4=TRUE, "["&amp;A4&amp;"]"&amp;IF(D6="", "", ", "), "")</f>
        <v>[id]</v>
      </c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/>
      <c r="B45" s="5" t="s">
        <v>14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ht="13.8" thickBot="1" x14ac:dyDescent="0.3">
      <c r="A46" s="11" t="s">
        <v>11</v>
      </c>
      <c r="B46" s="12"/>
      <c r="C46" s="12"/>
      <c r="D46" s="12"/>
      <c r="E46" s="12"/>
      <c r="F46" s="13"/>
      <c r="G46" s="12"/>
      <c r="H46" s="12"/>
      <c r="I46" s="14"/>
      <c r="J46" s="14"/>
      <c r="K46" s="12"/>
      <c r="L46" s="15"/>
    </row>
    <row r="47" spans="1:12" x14ac:dyDescent="0.25">
      <c r="A47" s="2"/>
      <c r="B47" s="2"/>
      <c r="C47" s="2"/>
      <c r="D47" s="2"/>
      <c r="E47" s="2"/>
      <c r="F47" s="3"/>
      <c r="G47" s="2"/>
      <c r="H47" s="2"/>
      <c r="I47" s="4"/>
      <c r="J47" s="4"/>
      <c r="K47" s="2"/>
      <c r="L47" s="2"/>
    </row>
    <row r="48" spans="1:12" x14ac:dyDescent="0.25">
      <c r="C48" t="s">
        <v>26</v>
      </c>
    </row>
    <row r="52" spans="1:3" x14ac:dyDescent="0.25">
      <c r="A52" s="33" t="s">
        <v>27</v>
      </c>
      <c r="B52" s="33" t="str">
        <f>B1</f>
        <v>PCNV_Employee</v>
      </c>
      <c r="C52" s="33"/>
    </row>
    <row r="53" spans="1:3" x14ac:dyDescent="0.25">
      <c r="A53" s="33" t="s">
        <v>28</v>
      </c>
      <c r="B53" s="33"/>
      <c r="C53" s="33"/>
    </row>
    <row r="54" spans="1:3" x14ac:dyDescent="0.25">
      <c r="A54" s="33"/>
      <c r="B54" s="33" t="s">
        <v>29</v>
      </c>
      <c r="C54" s="33"/>
    </row>
    <row r="55" spans="1:3" x14ac:dyDescent="0.25">
      <c r="A55" s="33"/>
      <c r="B55" s="33" t="s">
        <v>30</v>
      </c>
      <c r="C55" s="33"/>
    </row>
    <row r="56" spans="1:3" x14ac:dyDescent="0.25">
      <c r="A56" s="33" t="s">
        <v>31</v>
      </c>
      <c r="B56" s="33" t="str">
        <f>IF(OR($B4="nvarchar",$B4="varchar"),"string",IF($B4="datetime","DateTime",$B4))</f>
        <v>int</v>
      </c>
      <c r="C56" s="33" t="str">
        <f>A4&amp;" "&amp;$C$48</f>
        <v>id  { get; set; }</v>
      </c>
    </row>
    <row r="57" spans="1:3" x14ac:dyDescent="0.25">
      <c r="A57" s="33" t="s">
        <v>31</v>
      </c>
      <c r="B57" s="33" t="str">
        <f t="shared" ref="B57:B68" si="1">IF(OR($B5="nvarchar",$B5="varchar"),"string",IF($B5="datetime","DateTime",$B5))</f>
        <v>string</v>
      </c>
      <c r="C57" s="33" t="str">
        <f t="shared" ref="C57:C68" si="2">A5&amp;" "&amp;$C$48</f>
        <v>ma_pcnv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ma_lenh_sx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ma_quy_trinh_sx  { get; set; }</v>
      </c>
    </row>
    <row r="60" spans="1:3" x14ac:dyDescent="0.25">
      <c r="A60" s="33" t="s">
        <v>31</v>
      </c>
      <c r="B60" s="33" t="str">
        <f t="shared" si="1"/>
        <v>string</v>
      </c>
      <c r="C60" s="33" t="str">
        <f t="shared" si="2"/>
        <v>ma_cong_viec  { get; set; }</v>
      </c>
    </row>
    <row r="61" spans="1:3" x14ac:dyDescent="0.25">
      <c r="A61" s="33" t="s">
        <v>31</v>
      </c>
      <c r="B61" s="33" t="str">
        <f t="shared" si="1"/>
        <v>string</v>
      </c>
      <c r="C61" s="33" t="str">
        <f t="shared" si="2"/>
        <v>ma_nhan_vien  { get; set; }</v>
      </c>
    </row>
    <row r="62" spans="1:3" x14ac:dyDescent="0.25">
      <c r="A62" s="33" t="s">
        <v>31</v>
      </c>
      <c r="B62" s="33" t="str">
        <f t="shared" si="1"/>
        <v>DateTime</v>
      </c>
      <c r="C62" s="33" t="str">
        <f t="shared" si="2"/>
        <v>ngay  { get; set; }</v>
      </c>
    </row>
    <row r="63" spans="1:3" x14ac:dyDescent="0.25">
      <c r="A63" s="33" t="s">
        <v>31</v>
      </c>
      <c r="B63" s="33" t="str">
        <f t="shared" si="1"/>
        <v>DateTime</v>
      </c>
      <c r="C63" s="33" t="str">
        <f t="shared" si="2"/>
        <v>thoi_gian_du_kien  { get; set; }</v>
      </c>
    </row>
    <row r="64" spans="1:3" x14ac:dyDescent="0.25">
      <c r="A64" s="33" t="s">
        <v>31</v>
      </c>
      <c r="B64" s="33" t="str">
        <f t="shared" si="1"/>
        <v>string</v>
      </c>
      <c r="C64" s="33" t="str">
        <f t="shared" si="2"/>
        <v>trang_thai  { get; set; }</v>
      </c>
    </row>
    <row r="65" spans="1:3" x14ac:dyDescent="0.25">
      <c r="A65" s="33" t="s">
        <v>31</v>
      </c>
      <c r="B65" s="33" t="str">
        <f t="shared" si="1"/>
        <v>DateTime</v>
      </c>
      <c r="C65" s="33" t="str">
        <f t="shared" si="2"/>
        <v>ngay_tao  { get; set; }</v>
      </c>
    </row>
    <row r="66" spans="1:3" x14ac:dyDescent="0.25">
      <c r="A66" s="33" t="s">
        <v>31</v>
      </c>
      <c r="B66" s="33" t="str">
        <f t="shared" si="1"/>
        <v>string</v>
      </c>
      <c r="C66" s="33" t="str">
        <f t="shared" si="2"/>
        <v>nguoi_tao  { get; set; }</v>
      </c>
    </row>
    <row r="67" spans="1:3" x14ac:dyDescent="0.25">
      <c r="A67" s="33" t="s">
        <v>31</v>
      </c>
      <c r="B67" s="33" t="str">
        <f t="shared" si="1"/>
        <v>DateTime</v>
      </c>
      <c r="C67" s="33" t="str">
        <f t="shared" si="2"/>
        <v>ngay_cap_nhat  { get; set; }</v>
      </c>
    </row>
    <row r="68" spans="1:3" x14ac:dyDescent="0.25">
      <c r="A68" s="33" t="s">
        <v>31</v>
      </c>
      <c r="B68" s="33" t="str">
        <f t="shared" si="1"/>
        <v>string</v>
      </c>
      <c r="C68" s="33" t="str">
        <f t="shared" si="2"/>
        <v>nguoi_cap_nhat  { get; set; }</v>
      </c>
    </row>
    <row r="69" spans="1:3" ht="14.4" customHeight="1" x14ac:dyDescent="0.25">
      <c r="A69" s="33" t="s">
        <v>32</v>
      </c>
      <c r="B69" s="33"/>
      <c r="C69" s="33" t="str">
        <f>IF($B18="nvarchar","("&amp;$C$6&amp;")",IF($B18="varchar","("&amp;$C18&amp;")",""))</f>
        <v/>
      </c>
    </row>
  </sheetData>
  <mergeCells count="1">
    <mergeCell ref="A18:B18"/>
  </mergeCells>
  <hyperlinks>
    <hyperlink ref="D1" location="'Sheet List'!A1" display="back to list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6"/>
  <sheetViews>
    <sheetView workbookViewId="0">
      <selection activeCell="I16" sqref="I16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76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56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52</v>
      </c>
      <c r="B6" s="23" t="s">
        <v>20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0" t="s">
        <v>43</v>
      </c>
      <c r="B7" s="23" t="s">
        <v>20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ht="14.4" x14ac:dyDescent="0.3">
      <c r="A8" s="47" t="s">
        <v>54</v>
      </c>
      <c r="B8" s="23" t="s">
        <v>19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34</v>
      </c>
      <c r="B9" s="23" t="s">
        <v>20</v>
      </c>
      <c r="C9" s="27">
        <v>100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64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0" x14ac:dyDescent="0.25">
      <c r="A11" s="22" t="s">
        <v>62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5">
      <c r="A12" s="22" t="s">
        <v>77</v>
      </c>
      <c r="B12" s="23" t="s">
        <v>20</v>
      </c>
      <c r="C12" s="27">
        <v>100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33</v>
      </c>
      <c r="B13" s="23" t="s">
        <v>7</v>
      </c>
      <c r="C13" s="27">
        <v>32</v>
      </c>
      <c r="D13" s="23"/>
      <c r="E13" s="23"/>
      <c r="F13" s="23" t="b">
        <v>1</v>
      </c>
      <c r="G13" s="43" t="s">
        <v>68</v>
      </c>
      <c r="H13" s="23"/>
      <c r="I13" s="24"/>
      <c r="J13" s="25"/>
    </row>
    <row r="14" spans="1:10" x14ac:dyDescent="0.25">
      <c r="A14" s="22" t="s">
        <v>72</v>
      </c>
      <c r="B14" s="23" t="s">
        <v>20</v>
      </c>
      <c r="C14" s="27">
        <v>1000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78</v>
      </c>
      <c r="B15" s="23" t="s">
        <v>20</v>
      </c>
      <c r="C15" s="27">
        <v>500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79</v>
      </c>
      <c r="B16" s="23" t="s">
        <v>20</v>
      </c>
      <c r="C16" s="27">
        <v>50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80</v>
      </c>
      <c r="B17" s="23" t="s">
        <v>20</v>
      </c>
      <c r="C17" s="27">
        <v>500</v>
      </c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81</v>
      </c>
      <c r="B18" s="23" t="s">
        <v>20</v>
      </c>
      <c r="C18" s="27">
        <v>500</v>
      </c>
      <c r="D18" s="23"/>
      <c r="E18" s="23"/>
      <c r="F18" s="23" t="b">
        <v>1</v>
      </c>
      <c r="G18" s="23"/>
      <c r="H18" s="23"/>
      <c r="I18" s="24"/>
      <c r="J18" s="25"/>
    </row>
    <row r="19" spans="1:12" x14ac:dyDescent="0.25">
      <c r="A19" s="22" t="s">
        <v>82</v>
      </c>
      <c r="B19" s="23" t="s">
        <v>20</v>
      </c>
      <c r="C19" s="27">
        <v>10</v>
      </c>
      <c r="D19" s="23"/>
      <c r="E19" s="23"/>
      <c r="F19" s="23" t="b">
        <v>1</v>
      </c>
      <c r="G19" s="23"/>
      <c r="H19" s="23"/>
      <c r="I19" s="24"/>
      <c r="J19" s="25"/>
    </row>
    <row r="20" spans="1:12" x14ac:dyDescent="0.25">
      <c r="A20" s="22" t="s">
        <v>83</v>
      </c>
      <c r="B20" s="23" t="s">
        <v>20</v>
      </c>
      <c r="C20" s="27">
        <v>40</v>
      </c>
      <c r="D20" s="23"/>
      <c r="E20" s="23"/>
      <c r="F20" s="23" t="b">
        <v>1</v>
      </c>
      <c r="G20" s="23"/>
      <c r="H20" s="23"/>
      <c r="I20" s="24"/>
      <c r="J20" s="25"/>
    </row>
    <row r="21" spans="1:12" x14ac:dyDescent="0.25">
      <c r="A21" s="22" t="s">
        <v>84</v>
      </c>
      <c r="B21" s="23" t="s">
        <v>9</v>
      </c>
      <c r="C21" s="27"/>
      <c r="D21" s="23"/>
      <c r="E21" s="23"/>
      <c r="F21" s="23" t="b">
        <v>1</v>
      </c>
      <c r="G21" s="23"/>
      <c r="H21" s="23"/>
      <c r="I21" s="24"/>
      <c r="J21" s="25"/>
    </row>
    <row r="22" spans="1:12" x14ac:dyDescent="0.25">
      <c r="A22" s="22" t="s">
        <v>21</v>
      </c>
      <c r="B22" s="23" t="s">
        <v>9</v>
      </c>
      <c r="C22" s="27"/>
      <c r="D22" s="23"/>
      <c r="E22" s="23"/>
      <c r="F22" s="23" t="b">
        <v>1</v>
      </c>
      <c r="G22" s="23"/>
      <c r="H22" s="23"/>
      <c r="I22" s="24"/>
      <c r="J22" s="25"/>
    </row>
    <row r="23" spans="1:12" x14ac:dyDescent="0.25">
      <c r="A23" s="22" t="s">
        <v>22</v>
      </c>
      <c r="B23" s="23" t="s">
        <v>20</v>
      </c>
      <c r="C23" s="27">
        <v>32</v>
      </c>
      <c r="D23" s="23"/>
      <c r="E23" s="23"/>
      <c r="F23" s="23" t="b">
        <v>1</v>
      </c>
      <c r="G23" s="23"/>
      <c r="H23" s="23"/>
      <c r="I23" s="24"/>
      <c r="J23" s="25"/>
    </row>
    <row r="24" spans="1:12" x14ac:dyDescent="0.25">
      <c r="A24" s="22" t="s">
        <v>23</v>
      </c>
      <c r="B24" s="23" t="s">
        <v>9</v>
      </c>
      <c r="C24" s="27"/>
      <c r="D24" s="23"/>
      <c r="E24" s="23"/>
      <c r="F24" s="23" t="b">
        <v>1</v>
      </c>
      <c r="G24" s="23"/>
      <c r="H24" s="23"/>
      <c r="I24" s="24"/>
      <c r="J24" s="25"/>
    </row>
    <row r="25" spans="1:12" x14ac:dyDescent="0.25">
      <c r="A25" s="22" t="s">
        <v>24</v>
      </c>
      <c r="B25" s="23" t="s">
        <v>20</v>
      </c>
      <c r="C25" s="27">
        <v>32</v>
      </c>
      <c r="D25" s="23"/>
      <c r="E25" s="23"/>
      <c r="F25" s="23" t="b">
        <v>1</v>
      </c>
      <c r="G25" s="23"/>
      <c r="H25" s="23"/>
      <c r="I25" s="24"/>
      <c r="J25" s="25"/>
    </row>
    <row r="26" spans="1:12" ht="13.8" thickBot="1" x14ac:dyDescent="0.3"/>
    <row r="27" spans="1:12" ht="13.8" thickBot="1" x14ac:dyDescent="0.3">
      <c r="A27" s="45" t="s">
        <v>10</v>
      </c>
      <c r="B27" s="46"/>
      <c r="C27" s="16"/>
      <c r="D27" s="17"/>
      <c r="E27" s="17"/>
      <c r="F27" s="18"/>
      <c r="G27" s="18"/>
      <c r="H27" s="18"/>
      <c r="I27" s="18"/>
      <c r="J27" s="18"/>
      <c r="K27" s="18"/>
      <c r="L27" s="18"/>
    </row>
    <row r="28" spans="1:12" x14ac:dyDescent="0.25">
      <c r="A28" s="5"/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5" t="str">
        <f>"if exists (select * from dbo.sysobjects where id = object_id(N'[dbo].["&amp;$B$1&amp;"]') and OBJECTPROPERTY(id, N'IsUserTable') = 1)"</f>
        <v>if exists (select * from dbo.sysobjects where id = object_id(N'[dbo].[Product]') and OBJECTPROPERTY(id, N'IsUserTable') = 1)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tr">
        <f>"drop table [dbo].["&amp;$B$1&amp;"]"</f>
        <v>drop table [dbo].[Product]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 t="str">
        <f>"CREATE TABLE [dbo].["&amp;$B$1&amp;"] ("</f>
        <v>CREATE TABLE [dbo].[Product] (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("&amp;G6&amp;")","")&amp;IF(A7&lt;&gt;"",", ", "")</f>
        <v xml:space="preserve">[ma_quy_trinh_sx] [nvarchar] (40)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>"["&amp;A7&amp;"] ["&amp;B7&amp;"]"&amp;IF(H7=TRUE, " IDENTITY (1,1)","")&amp;IF(AND(B7&lt;&gt;"int",B7&lt;&gt;"bigint",B7&lt;&gt;"bit",B7&lt;&gt;"float",B7&lt;&gt;"datetime",B7&lt;&gt;"smalldatetime",B7&lt;&gt;"timestamp",B7&lt;&gt;"xml")," ("&amp;C7&amp;") "," ")&amp;""&amp;IF(F7=FALSE,"NOT NULL","NULL")&amp;IF(G7&lt;&gt;""," DEFAULT ("&amp;G7&amp;")","")&amp;IF(A8&lt;&gt;"",", ", "")</f>
        <v xml:space="preserve">[ma_cong_viec] [nvarchar] (40)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[so_thu_tu] [int] NOT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("&amp;G9&amp;")","")&amp;IF(A10&lt;&gt;"",", ", "")</f>
        <v xml:space="preserve">[ma_san_pham] [nvarchar] (100)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("&amp;G10&amp;")","")&amp;IF(A11&lt;&gt;"",", ", "")</f>
        <v xml:space="preserve">[thoi_gian_bat_dau]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[thoi_gian_ket_thuc] [datetime]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("&amp;G12&amp;")","")&amp;IF(A13&lt;&gt;"",", ", "")</f>
        <v xml:space="preserve">[ma_nhan_vien_quet] [nvarchar] (100)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("&amp;G13&amp;")","")&amp;IF(A14&lt;&gt;"",", ", "")</f>
        <v xml:space="preserve">[trang_thai] [varchar] (32) NULL DEFAULT ('A'),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10"/>
      <c r="B44" s="5" t="str">
        <f>"["&amp;A14&amp;"] ["&amp;B14&amp;"]"&amp;IF(H14=TRUE, " IDENTITY (1,1)","")&amp;IF(AND(B14&lt;&gt;"int",B14&lt;&gt;"bigint",B14&lt;&gt;"bit",B14&lt;&gt;"float",B14&lt;&gt;"datetime",B14&lt;&gt;"smalldatetime",B14&lt;&gt;"timestamp",B14&lt;&gt;"xml")," ("&amp;C14&amp;") "," ")&amp;""&amp;IF(F14=FALSE,"NOT NULL","NULL")&amp;IF(G14&lt;&gt;""," DEFAULT ("&amp;G14&amp;")","")&amp;IF(A15&lt;&gt;"",", ", "")</f>
        <v xml:space="preserve">[ghi_chu] [nvarchar] (1000)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10"/>
      <c r="B45" s="5" t="str">
        <f>"["&amp;A15&amp;"] ["&amp;B15&amp;"]"&amp;IF(H15=TRUE, " IDENTITY (1,1)","")&amp;IF(AND(B15&lt;&gt;"int",B15&lt;&gt;"bigint",B15&lt;&gt;"bit",B15&lt;&gt;"float",B15&lt;&gt;"datetime",B15&lt;&gt;"smalldatetime",B15&lt;&gt;"timestamp",B15&lt;&gt;"xml")," ("&amp;C15&amp;") "," ")&amp;""&amp;IF(F15=FALSE,"NOT NULL","NULL")&amp;IF(G15&lt;&gt;""," DEFAULT ("&amp;G15&amp;")","")&amp;IF(A16&lt;&gt;"",", ", "")</f>
        <v xml:space="preserve">[vi_tri_loi] [nvarchar] (500)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10"/>
      <c r="B46" s="5" t="str">
        <f>"["&amp;A16&amp;"] ["&amp;B16&amp;"]"&amp;IF(H16=TRUE, " IDENTITY (1,1)","")&amp;IF(AND(B16&lt;&gt;"int",B16&lt;&gt;"bigint",B16&lt;&gt;"bit",B16&lt;&gt;"float",B16&lt;&gt;"datetime",B16&lt;&gt;"smalldatetime",B16&lt;&gt;"timestamp",B16&lt;&gt;"xml")," ("&amp;C16&amp;") "," ")&amp;""&amp;IF(F16=FALSE,"NOT NULL","NULL")&amp;IF(G16&lt;&gt;""," DEFAULT ("&amp;G16&amp;")","")&amp;IF(A17&lt;&gt;"",", ", "")</f>
        <v xml:space="preserve">[muc_do_nghiem_trong] [nvarchar] (50)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10"/>
      <c r="B47" s="5" t="str">
        <f>"["&amp;A17&amp;"] ["&amp;B17&amp;"]"&amp;IF(H17=TRUE, " IDENTITY (1,1)","")&amp;IF(AND(B17&lt;&gt;"int",B17&lt;&gt;"bigint",B17&lt;&gt;"bit",B17&lt;&gt;"float",B17&lt;&gt;"datetime",B17&lt;&gt;"smalldatetime",B17&lt;&gt;"timestamp",B17&lt;&gt;"xml")," ("&amp;C17&amp;") "," ")&amp;""&amp;IF(F17=FALSE,"NOT NULL","NULL")&amp;IF(G17&lt;&gt;""," DEFAULT ("&amp;G17&amp;")","")&amp;IF(A18&lt;&gt;"",", ", "")</f>
        <v xml:space="preserve">[hinh_anh_loi] [nvarchar] (500) NULL, 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10"/>
      <c r="B48" s="5" t="str">
        <f>"["&amp;A18&amp;"] ["&amp;B18&amp;"]"&amp;IF(H18=TRUE, " IDENTITY (1,1)","")&amp;IF(AND(B18&lt;&gt;"int",B18&lt;&gt;"bigint",B18&lt;&gt;"bit",B18&lt;&gt;"float",B18&lt;&gt;"datetime",B18&lt;&gt;"smalldatetime",B18&lt;&gt;"timestamp",B18&lt;&gt;"xml")," ("&amp;C18&amp;") "," ")&amp;""&amp;IF(F18=FALSE,"NOT NULL","NULL")&amp;IF(G18&lt;&gt;""," DEFAULT ("&amp;G18&amp;")","")&amp;IF(A19&lt;&gt;"",", ", "")</f>
        <v xml:space="preserve">[mieu_ta_loi] [nvarchar] (500) NULL, 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10"/>
      <c r="B49" s="5" t="str">
        <f>"["&amp;A19&amp;"] ["&amp;B19&amp;"]"&amp;IF(H19=TRUE, " IDENTITY (1,1)","")&amp;IF(AND(B19&lt;&gt;"int",B19&lt;&gt;"bigint",B19&lt;&gt;"bit",B19&lt;&gt;"float",B19&lt;&gt;"datetime",B19&lt;&gt;"smalldatetime",B19&lt;&gt;"timestamp",B19&lt;&gt;"xml")," ("&amp;C19&amp;") "," ")&amp;""&amp;IF(F19=FALSE,"NOT NULL","NULL")&amp;IF(G19&lt;&gt;""," DEFAULT ("&amp;G19&amp;")","")&amp;IF(A20&lt;&gt;"",", ", "")</f>
        <v xml:space="preserve">[he_so_chat_luong] [nvarchar] (10) NULL, 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10"/>
      <c r="B50" s="5" t="str">
        <f>"["&amp;A20&amp;"] ["&amp;B20&amp;"]"&amp;IF(H20=TRUE, " IDENTITY (1,1)","")&amp;IF(AND(B20&lt;&gt;"int",B20&lt;&gt;"bigint",B20&lt;&gt;"bit",B20&lt;&gt;"float",B20&lt;&gt;"datetime",B20&lt;&gt;"smalldatetime",B20&lt;&gt;"timestamp",B20&lt;&gt;"xml")," ("&amp;C20&amp;") "," ")&amp;""&amp;IF(F20=FALSE,"NOT NULL","NULL")&amp;IF(G20&lt;&gt;""," DEFAULT ("&amp;G20&amp;")","")&amp;IF(A22&lt;&gt;"",", ", "")</f>
        <v xml:space="preserve">[nhan_vien_qc] [nvarchar] (40) NULL, 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10"/>
      <c r="B51" s="5" t="str">
        <f>"["&amp;A21&amp;"] ["&amp;B21&amp;"]"&amp;IF(H21=TRUE, " IDENTITY (1,1)","")&amp;IF(AND(B21&lt;&gt;"int",B21&lt;&gt;"bigint",B21&lt;&gt;"bit",B21&lt;&gt;"float",B21&lt;&gt;"datetime",B21&lt;&gt;"smalldatetime",B21&lt;&gt;"timestamp",B21&lt;&gt;"xml")," ("&amp;C21&amp;") "," ")&amp;""&amp;IF(F21=FALSE,"NOT NULL","NULL")&amp;IF(G21&lt;&gt;""," DEFAULT ("&amp;G21&amp;")","")&amp;IF(A23&lt;&gt;"",", ", "")</f>
        <v xml:space="preserve">[ngay_quet_qc] [datetime] NULL, 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5">
      <c r="A52" s="10"/>
      <c r="B52" s="5" t="str">
        <f t="shared" ref="B52:B55" si="0">"["&amp;A22&amp;"] ["&amp;B22&amp;"]"&amp;IF(H22=TRUE, " IDENTITY (1,1)","")&amp;IF(AND(B22&lt;&gt;"int",B22&lt;&gt;"bigint",B22&lt;&gt;"bit",B22&lt;&gt;"float",B22&lt;&gt;"datetime",B22&lt;&gt;"smalldatetime",B22&lt;&gt;"timestamp",B22&lt;&gt;"xml")," ("&amp;C22&amp;") "," ")&amp;""&amp;IF(F22=FALSE,"NOT NULL","NULL")&amp;IF(G22&lt;&gt;""," DEFAULT ("&amp;G22&amp;")","")&amp;IF(A24&lt;&gt;"",", ", "")</f>
        <v xml:space="preserve">[ngay_tao] [datetime] NULL, </v>
      </c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5">
      <c r="A53" s="10"/>
      <c r="B53" s="5" t="str">
        <f t="shared" si="0"/>
        <v xml:space="preserve">[nguoi_tao] [nvarchar] (32) NULL, 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5">
      <c r="A54" s="10"/>
      <c r="B54" s="5" t="str">
        <f t="shared" si="0"/>
        <v>[ngay_cap_nhat] [datetime] NULL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5">
      <c r="A55" s="10"/>
      <c r="B55" s="5" t="str">
        <f t="shared" si="0"/>
        <v xml:space="preserve">[nguoi_cap_nhat] [nvarchar] (32) NULL, </v>
      </c>
      <c r="C55" s="5"/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5">
      <c r="A56" s="9" t="s">
        <v>12</v>
      </c>
      <c r="B56" s="5"/>
      <c r="C56" s="5"/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5">
      <c r="A57" s="9" t="s">
        <v>11</v>
      </c>
      <c r="B57" s="5"/>
      <c r="C57" s="5"/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5">
      <c r="A58" s="9"/>
      <c r="B58" s="5"/>
      <c r="C58" s="5"/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5">
      <c r="A59" s="9" t="str">
        <f>"ALTER TABLE [dbo].["&amp;$B$1&amp;"] ADD"</f>
        <v>ALTER TABLE [dbo].[Product] ADD</v>
      </c>
      <c r="B59" s="5"/>
      <c r="C59" s="5"/>
      <c r="D59" s="5"/>
      <c r="E59" s="5"/>
      <c r="F59" s="6"/>
      <c r="G59" s="5"/>
      <c r="H59" s="5"/>
      <c r="I59" s="7"/>
      <c r="J59" s="7"/>
      <c r="K59" s="5"/>
      <c r="L59" s="8"/>
    </row>
    <row r="60" spans="1:12" x14ac:dyDescent="0.25">
      <c r="A60" s="9"/>
      <c r="B60" s="5" t="str">
        <f>"CONSTRAINT [PK_"&amp;$B$1&amp;"] PRIMARY KEY  CLUSTERED"</f>
        <v>CONSTRAINT [PK_Product] PRIMARY KEY  CLUSTERED</v>
      </c>
      <c r="C60" s="5"/>
      <c r="D60" s="5"/>
      <c r="E60" s="5"/>
      <c r="F60" s="6"/>
      <c r="G60" s="5"/>
      <c r="H60" s="5"/>
      <c r="I60" s="7"/>
      <c r="J60" s="7"/>
      <c r="K60" s="5"/>
      <c r="L60" s="8"/>
    </row>
    <row r="61" spans="1:12" x14ac:dyDescent="0.25">
      <c r="A61" s="9"/>
      <c r="B61" s="5" t="s">
        <v>13</v>
      </c>
      <c r="C61" s="5"/>
      <c r="D61" s="5"/>
      <c r="E61" s="5"/>
      <c r="F61" s="6"/>
      <c r="G61" s="5"/>
      <c r="H61" s="5"/>
      <c r="I61" s="7"/>
      <c r="J61" s="7"/>
      <c r="K61" s="5"/>
      <c r="L61" s="8"/>
    </row>
    <row r="62" spans="1:12" x14ac:dyDescent="0.25">
      <c r="A62" s="9"/>
      <c r="B62" s="5"/>
      <c r="C62" s="5" t="str">
        <f>IF(D4=TRUE, "["&amp;A4&amp;"]"&amp;IF(D5="", "", ", "), "")</f>
        <v>[id]</v>
      </c>
      <c r="D62" s="5"/>
      <c r="E62" s="5"/>
      <c r="F62" s="6"/>
      <c r="G62" s="5"/>
      <c r="H62" s="5"/>
      <c r="I62" s="7"/>
      <c r="J62" s="7"/>
      <c r="K62" s="5"/>
      <c r="L62" s="8"/>
    </row>
    <row r="63" spans="1:12" x14ac:dyDescent="0.25">
      <c r="A63" s="9"/>
      <c r="B63" s="5" t="s">
        <v>14</v>
      </c>
      <c r="C63" s="5"/>
      <c r="D63" s="5"/>
      <c r="E63" s="5"/>
      <c r="F63" s="6"/>
      <c r="G63" s="5"/>
      <c r="H63" s="5"/>
      <c r="I63" s="7"/>
      <c r="J63" s="7"/>
      <c r="K63" s="5"/>
      <c r="L63" s="8"/>
    </row>
    <row r="64" spans="1:12" ht="13.8" thickBot="1" x14ac:dyDescent="0.3">
      <c r="A64" s="11" t="s">
        <v>11</v>
      </c>
      <c r="B64" s="12"/>
      <c r="C64" s="12"/>
      <c r="D64" s="12"/>
      <c r="E64" s="12"/>
      <c r="F64" s="13"/>
      <c r="G64" s="12"/>
      <c r="H64" s="12"/>
      <c r="I64" s="14"/>
      <c r="J64" s="14"/>
      <c r="K64" s="12"/>
      <c r="L64" s="15"/>
    </row>
    <row r="65" spans="1:12" x14ac:dyDescent="0.25">
      <c r="A65" s="2"/>
      <c r="B65" s="2"/>
      <c r="C65" s="2"/>
      <c r="D65" s="2"/>
      <c r="E65" s="2"/>
      <c r="F65" s="3"/>
      <c r="G65" s="2"/>
      <c r="H65" s="2"/>
      <c r="I65" s="4"/>
      <c r="J65" s="4"/>
      <c r="K65" s="2"/>
      <c r="L65" s="2"/>
    </row>
    <row r="66" spans="1:12" x14ac:dyDescent="0.25">
      <c r="C66" t="s">
        <v>26</v>
      </c>
    </row>
    <row r="70" spans="1:12" x14ac:dyDescent="0.25">
      <c r="A70" s="33" t="s">
        <v>27</v>
      </c>
      <c r="B70" s="33" t="str">
        <f>B1</f>
        <v>Product</v>
      </c>
      <c r="C70" s="33"/>
    </row>
    <row r="71" spans="1:12" x14ac:dyDescent="0.25">
      <c r="A71" s="33" t="s">
        <v>28</v>
      </c>
      <c r="B71" s="33"/>
      <c r="C71" s="33"/>
    </row>
    <row r="72" spans="1:12" x14ac:dyDescent="0.25">
      <c r="A72" s="33"/>
      <c r="B72" s="33" t="s">
        <v>29</v>
      </c>
      <c r="C72" s="33"/>
    </row>
    <row r="73" spans="1:12" x14ac:dyDescent="0.25">
      <c r="A73" s="33"/>
      <c r="B73" s="33" t="s">
        <v>30</v>
      </c>
      <c r="C73" s="33"/>
    </row>
    <row r="74" spans="1:12" x14ac:dyDescent="0.25">
      <c r="A74" s="33" t="s">
        <v>31</v>
      </c>
      <c r="B74" s="33" t="str">
        <f>IF(OR($B4="nvarchar",$B4="varchar"),"string",IF($B4="datetime","DateTime",$B4))</f>
        <v>int</v>
      </c>
      <c r="C74" s="33" t="str">
        <f>A4&amp;" "&amp;$C$66</f>
        <v>id  { get; set; }</v>
      </c>
    </row>
    <row r="75" spans="1:12" x14ac:dyDescent="0.25">
      <c r="A75" s="33" t="s">
        <v>31</v>
      </c>
      <c r="B75" s="33" t="str">
        <f>IF(OR($B5="nvarchar",$B5="varchar"),"string",IF($B5="datetime","DateTime",$B5))</f>
        <v>string</v>
      </c>
      <c r="C75" s="33" t="str">
        <f>A5&amp;" "&amp;$C$66</f>
        <v>ma_lenh_sx  { get; set; }</v>
      </c>
    </row>
    <row r="76" spans="1:12" x14ac:dyDescent="0.25">
      <c r="A76" s="33" t="s">
        <v>31</v>
      </c>
      <c r="B76" s="33" t="str">
        <f>IF(OR($B6="nvarchar",$B6="varchar"),"string",IF($B6="datetime","DateTime",$B6))</f>
        <v>string</v>
      </c>
      <c r="C76" s="33" t="str">
        <f>A6&amp;" "&amp;$C$66</f>
        <v>ma_quy_trinh_sx  { get; set; }</v>
      </c>
    </row>
    <row r="77" spans="1:12" x14ac:dyDescent="0.25">
      <c r="A77" s="33" t="s">
        <v>31</v>
      </c>
      <c r="B77" s="33" t="str">
        <f>IF(OR($B7="nvarchar",$B7="varchar"),"string",IF($B7="datetime","DateTime",$B7))</f>
        <v>string</v>
      </c>
      <c r="C77" s="33" t="str">
        <f>A7&amp;" "&amp;$C$66</f>
        <v>ma_cong_viec  { get; set; }</v>
      </c>
    </row>
    <row r="78" spans="1:12" x14ac:dyDescent="0.25">
      <c r="A78" s="33" t="s">
        <v>31</v>
      </c>
      <c r="B78" s="33" t="str">
        <f>IF(OR($B8="nvarchar",$B8="varchar"),"string",IF($B8="datetime","DateTime",$B8))</f>
        <v>int</v>
      </c>
      <c r="C78" s="33" t="str">
        <f>A8&amp;" "&amp;$C$66</f>
        <v>so_thu_tu  { get; set; }</v>
      </c>
    </row>
    <row r="79" spans="1:12" x14ac:dyDescent="0.25">
      <c r="A79" s="33" t="s">
        <v>31</v>
      </c>
      <c r="B79" s="33" t="str">
        <f>IF(OR($B9="nvarchar",$B9="varchar"),"string",IF($B9="datetime","DateTime",$B9))</f>
        <v>string</v>
      </c>
      <c r="C79" s="33" t="str">
        <f>A9&amp;" "&amp;$C$66</f>
        <v>ma_san_pham  { get; set; }</v>
      </c>
    </row>
    <row r="80" spans="1:12" x14ac:dyDescent="0.25">
      <c r="A80" s="33" t="s">
        <v>31</v>
      </c>
      <c r="B80" s="33" t="str">
        <f>IF(OR($B10="nvarchar",$B10="varchar"),"string",IF($B10="datetime","DateTime",$B10))</f>
        <v>DateTime</v>
      </c>
      <c r="C80" s="33" t="str">
        <f>A10&amp;" "&amp;$C$66</f>
        <v>thoi_gian_bat_dau  { get; set; }</v>
      </c>
    </row>
    <row r="81" spans="1:3" x14ac:dyDescent="0.25">
      <c r="A81" s="33" t="s">
        <v>31</v>
      </c>
      <c r="B81" s="33" t="str">
        <f>IF(OR($B11="nvarchar",$B11="varchar"),"string",IF($B11="datetime","DateTime",$B11))</f>
        <v>DateTime</v>
      </c>
      <c r="C81" s="33" t="str">
        <f>A11&amp;" "&amp;$C$66</f>
        <v>thoi_gian_ket_thuc  { get; set; }</v>
      </c>
    </row>
    <row r="82" spans="1:3" x14ac:dyDescent="0.25">
      <c r="A82" s="33" t="s">
        <v>31</v>
      </c>
      <c r="B82" s="33" t="str">
        <f>IF(OR($B12="nvarchar",$B12="varchar"),"string",IF($B12="datetime","DateTime",$B12))</f>
        <v>string</v>
      </c>
      <c r="C82" s="33" t="str">
        <f>A12&amp;" "&amp;$C$66</f>
        <v>ma_nhan_vien_quet  { get; set; }</v>
      </c>
    </row>
    <row r="83" spans="1:3" x14ac:dyDescent="0.25">
      <c r="A83" s="33" t="s">
        <v>31</v>
      </c>
      <c r="B83" s="33" t="str">
        <f>IF(OR($B13="nvarchar",$B13="varchar"),"string",IF($B13="datetime","DateTime",$B13))</f>
        <v>string</v>
      </c>
      <c r="C83" s="33" t="str">
        <f>A13&amp;" "&amp;$C$66</f>
        <v>trang_thai  { get; set; }</v>
      </c>
    </row>
    <row r="84" spans="1:3" x14ac:dyDescent="0.25">
      <c r="A84" s="33" t="s">
        <v>31</v>
      </c>
      <c r="B84" s="33" t="str">
        <f>IF(OR($B14="nvarchar",$B14="varchar"),"string",IF($B14="datetime","DateTime",$B14))</f>
        <v>string</v>
      </c>
      <c r="C84" s="33" t="str">
        <f>A14&amp;" "&amp;$C$66</f>
        <v>ghi_chu  { get; set; }</v>
      </c>
    </row>
    <row r="85" spans="1:3" x14ac:dyDescent="0.25">
      <c r="A85" s="33" t="s">
        <v>31</v>
      </c>
      <c r="B85" s="33" t="str">
        <f>IF(OR($B15="nvarchar",$B15="varchar"),"string",IF($B15="datetime","DateTime",$B15))</f>
        <v>string</v>
      </c>
      <c r="C85" s="33" t="str">
        <f>A15&amp;" "&amp;$C$66</f>
        <v>vi_tri_loi  { get; set; }</v>
      </c>
    </row>
    <row r="86" spans="1:3" x14ac:dyDescent="0.25">
      <c r="A86" s="33" t="s">
        <v>31</v>
      </c>
      <c r="B86" s="33" t="str">
        <f>IF(OR($B16="nvarchar",$B16="varchar"),"string",IF($B16="datetime","DateTime",$B16))</f>
        <v>string</v>
      </c>
      <c r="C86" s="33" t="str">
        <f>A16&amp;" "&amp;$C$66</f>
        <v>muc_do_nghiem_trong  { get; set; }</v>
      </c>
    </row>
    <row r="87" spans="1:3" x14ac:dyDescent="0.25">
      <c r="A87" s="33" t="s">
        <v>31</v>
      </c>
      <c r="B87" s="33" t="str">
        <f>IF(OR($B17="nvarchar",$B17="varchar"),"string",IF($B17="datetime","DateTime",$B17))</f>
        <v>string</v>
      </c>
      <c r="C87" s="33" t="str">
        <f>A17&amp;" "&amp;$C$66</f>
        <v>hinh_anh_loi  { get; set; }</v>
      </c>
    </row>
    <row r="88" spans="1:3" x14ac:dyDescent="0.25">
      <c r="A88" s="33" t="s">
        <v>31</v>
      </c>
      <c r="B88" s="33" t="str">
        <f>IF(OR($B18="nvarchar",$B18="varchar"),"string",IF($B18="datetime","DateTime",$B18))</f>
        <v>string</v>
      </c>
      <c r="C88" s="33" t="str">
        <f>A18&amp;" "&amp;$C$66</f>
        <v>mieu_ta_loi  { get; set; }</v>
      </c>
    </row>
    <row r="89" spans="1:3" x14ac:dyDescent="0.25">
      <c r="A89" s="33" t="s">
        <v>31</v>
      </c>
      <c r="B89" s="33" t="str">
        <f>IF(OR($B19="nvarchar",$B19="varchar"),"string",IF($B19="datetime","DateTime",$B19))</f>
        <v>string</v>
      </c>
      <c r="C89" s="33" t="str">
        <f>A19&amp;" "&amp;$C$66</f>
        <v>he_so_chat_luong  { get; set; }</v>
      </c>
    </row>
    <row r="90" spans="1:3" x14ac:dyDescent="0.25">
      <c r="A90" s="33" t="s">
        <v>31</v>
      </c>
      <c r="B90" s="33" t="str">
        <f t="shared" ref="B90:B95" si="1">IF(OR($B20="nvarchar",$B20="varchar"),"string",IF($B20="datetime","DateTime",$B20))</f>
        <v>string</v>
      </c>
      <c r="C90" s="33" t="str">
        <f t="shared" ref="C90:C95" si="2">A20&amp;" "&amp;$C$66</f>
        <v>nhan_vien_qc  { get; set; }</v>
      </c>
    </row>
    <row r="91" spans="1:3" x14ac:dyDescent="0.25">
      <c r="A91" s="33" t="s">
        <v>31</v>
      </c>
      <c r="B91" s="33" t="str">
        <f t="shared" si="1"/>
        <v>DateTime</v>
      </c>
      <c r="C91" s="33" t="str">
        <f t="shared" si="2"/>
        <v>ngay_quet_qc  { get; set; }</v>
      </c>
    </row>
    <row r="92" spans="1:3" x14ac:dyDescent="0.25">
      <c r="A92" s="33" t="s">
        <v>31</v>
      </c>
      <c r="B92" s="33" t="str">
        <f t="shared" si="1"/>
        <v>DateTime</v>
      </c>
      <c r="C92" s="33" t="str">
        <f t="shared" si="2"/>
        <v>ngay_tao  { get; set; }</v>
      </c>
    </row>
    <row r="93" spans="1:3" x14ac:dyDescent="0.25">
      <c r="A93" s="33" t="s">
        <v>31</v>
      </c>
      <c r="B93" s="33" t="str">
        <f t="shared" si="1"/>
        <v>string</v>
      </c>
      <c r="C93" s="33" t="str">
        <f t="shared" si="2"/>
        <v>nguoi_tao  { get; set; }</v>
      </c>
    </row>
    <row r="94" spans="1:3" x14ac:dyDescent="0.25">
      <c r="A94" s="33" t="s">
        <v>31</v>
      </c>
      <c r="B94" s="33" t="str">
        <f t="shared" si="1"/>
        <v>DateTime</v>
      </c>
      <c r="C94" s="33" t="str">
        <f t="shared" si="2"/>
        <v>ngay_cap_nhat  { get; set; }</v>
      </c>
    </row>
    <row r="95" spans="1:3" x14ac:dyDescent="0.25">
      <c r="A95" s="33" t="s">
        <v>31</v>
      </c>
      <c r="B95" s="33" t="str">
        <f t="shared" si="1"/>
        <v>string</v>
      </c>
      <c r="C95" s="33" t="str">
        <f t="shared" si="2"/>
        <v>nguoi_cap_nhat  { get; set; }</v>
      </c>
    </row>
    <row r="96" spans="1:3" ht="14.4" customHeight="1" x14ac:dyDescent="0.25">
      <c r="A96" s="33" t="s">
        <v>32</v>
      </c>
      <c r="B96" s="33"/>
      <c r="C96" s="33" t="str">
        <f>IF($B27="nvarchar","("&amp;$C$5&amp;")",IF($B27="varchar","("&amp;$C27&amp;")",""))</f>
        <v/>
      </c>
    </row>
  </sheetData>
  <mergeCells count="1">
    <mergeCell ref="A27:B27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 List</vt:lpstr>
      <vt:lpstr>Jobs</vt:lpstr>
      <vt:lpstr>Employee</vt:lpstr>
      <vt:lpstr>Employee_Job</vt:lpstr>
      <vt:lpstr>Process_Production</vt:lpstr>
      <vt:lpstr>Process_Production_Job</vt:lpstr>
      <vt:lpstr>Working_Time</vt:lpstr>
      <vt:lpstr>Check_In</vt:lpstr>
      <vt:lpstr>Lenh_San_Xuat</vt:lpstr>
      <vt:lpstr>Phan_Cong_Nhiem_Vu</vt:lpstr>
      <vt:lpstr>PCNV_Employee</vt:lpstr>
      <vt:lpstr>Product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Nguyen Hoang Duy (GSC.DMS)</cp:lastModifiedBy>
  <cp:lastPrinted>2014-02-26T11:40:55Z</cp:lastPrinted>
  <dcterms:created xsi:type="dcterms:W3CDTF">2013-10-30T07:53:16Z</dcterms:created>
  <dcterms:modified xsi:type="dcterms:W3CDTF">2017-04-24T02:30:10Z</dcterms:modified>
</cp:coreProperties>
</file>