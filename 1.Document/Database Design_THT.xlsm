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7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Working_Time" sheetId="260" r:id="rId7"/>
    <sheet name="Check_In" sheetId="261" r:id="rId8"/>
    <sheet name="Lenh_San_Xuat" sheetId="258" r:id="rId9"/>
    <sheet name="Phan_Cong_Nhiem_Vu" sheetId="259" r:id="rId10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C49" i="261" l="1"/>
  <c r="B49" i="261"/>
  <c r="C48" i="261"/>
  <c r="B48" i="261"/>
  <c r="C47" i="261"/>
  <c r="B47" i="261"/>
  <c r="C46" i="261"/>
  <c r="B46" i="261"/>
  <c r="C45" i="261"/>
  <c r="B45" i="261"/>
  <c r="C44" i="261"/>
  <c r="B44" i="261"/>
  <c r="C43" i="261"/>
  <c r="B43" i="261"/>
  <c r="C42" i="261"/>
  <c r="B42" i="261"/>
  <c r="B38" i="261"/>
  <c r="C34" i="261"/>
  <c r="B32" i="261"/>
  <c r="A31" i="261"/>
  <c r="B27" i="261"/>
  <c r="B26" i="261"/>
  <c r="B25" i="261"/>
  <c r="B24" i="261"/>
  <c r="B23" i="261"/>
  <c r="B22" i="261"/>
  <c r="B21" i="261"/>
  <c r="B20" i="261"/>
  <c r="A19" i="261"/>
  <c r="A16" i="261"/>
  <c r="A15" i="261"/>
  <c r="B61" i="258"/>
  <c r="C61" i="258"/>
  <c r="B62" i="258"/>
  <c r="C62" i="258"/>
  <c r="B63" i="258"/>
  <c r="C63" i="258"/>
  <c r="B64" i="258"/>
  <c r="C64" i="258"/>
  <c r="B65" i="258"/>
  <c r="C65" i="258"/>
  <c r="B66" i="258"/>
  <c r="C66" i="258"/>
  <c r="B67" i="258"/>
  <c r="C67" i="258"/>
  <c r="B68" i="258"/>
  <c r="C68" i="258"/>
  <c r="B69" i="258"/>
  <c r="C69" i="258"/>
  <c r="B70" i="258"/>
  <c r="C70" i="258"/>
  <c r="B71" i="258"/>
  <c r="C71" i="258"/>
  <c r="B72" i="258"/>
  <c r="C72" i="258"/>
  <c r="B73" i="258"/>
  <c r="C73" i="258"/>
  <c r="B74" i="258"/>
  <c r="C74" i="258"/>
  <c r="B28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C57" i="260" l="1"/>
  <c r="B57" i="260"/>
  <c r="C56" i="260"/>
  <c r="B56" i="260"/>
  <c r="C55" i="260"/>
  <c r="B55" i="260"/>
  <c r="C54" i="260"/>
  <c r="B54" i="260"/>
  <c r="C53" i="260"/>
  <c r="B53" i="260"/>
  <c r="C52" i="260"/>
  <c r="B52" i="260"/>
  <c r="C51" i="260"/>
  <c r="B51" i="260"/>
  <c r="C50" i="260"/>
  <c r="B50" i="260"/>
  <c r="C49" i="260"/>
  <c r="B49" i="260"/>
  <c r="C48" i="260"/>
  <c r="B48" i="260"/>
  <c r="B44" i="260"/>
  <c r="C38" i="260"/>
  <c r="B36" i="260"/>
  <c r="A35" i="260"/>
  <c r="B31" i="260"/>
  <c r="B30" i="260"/>
  <c r="B29" i="260"/>
  <c r="B28" i="260"/>
  <c r="B27" i="260"/>
  <c r="B26" i="260"/>
  <c r="B25" i="260"/>
  <c r="B24" i="260"/>
  <c r="B23" i="260"/>
  <c r="B22" i="260"/>
  <c r="A21" i="260"/>
  <c r="A18" i="260"/>
  <c r="A17" i="260"/>
  <c r="B55" i="229" l="1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62" i="229"/>
  <c r="C62" i="229"/>
  <c r="B63" i="229"/>
  <c r="C63" i="229"/>
  <c r="B64" i="229"/>
  <c r="C64" i="229"/>
  <c r="B24" i="229"/>
  <c r="B25" i="229"/>
  <c r="B26" i="229"/>
  <c r="B27" i="229"/>
  <c r="B28" i="229"/>
  <c r="B29" i="229"/>
  <c r="B30" i="229"/>
  <c r="B31" i="229"/>
  <c r="B32" i="229"/>
  <c r="B33" i="229"/>
  <c r="C77" i="259" l="1"/>
  <c r="C76" i="259"/>
  <c r="B76" i="259"/>
  <c r="C75" i="259"/>
  <c r="B75" i="259"/>
  <c r="C74" i="259"/>
  <c r="B74" i="259"/>
  <c r="C73" i="259"/>
  <c r="B73" i="259"/>
  <c r="C72" i="259"/>
  <c r="B72" i="259"/>
  <c r="C71" i="259"/>
  <c r="B71" i="259"/>
  <c r="C70" i="259"/>
  <c r="B70" i="259"/>
  <c r="C69" i="259"/>
  <c r="B69" i="259"/>
  <c r="C68" i="259"/>
  <c r="B68" i="259"/>
  <c r="C67" i="259"/>
  <c r="B67" i="259"/>
  <c r="C66" i="259"/>
  <c r="B66" i="259"/>
  <c r="C65" i="259"/>
  <c r="B65" i="259"/>
  <c r="C64" i="259"/>
  <c r="B64" i="259"/>
  <c r="C63" i="259"/>
  <c r="B63" i="259"/>
  <c r="C62" i="259"/>
  <c r="B62" i="259"/>
  <c r="B58" i="259"/>
  <c r="C50" i="259"/>
  <c r="B48" i="259"/>
  <c r="A47" i="259"/>
  <c r="B43" i="259"/>
  <c r="B42" i="259"/>
  <c r="B41" i="259"/>
  <c r="B40" i="259"/>
  <c r="B39" i="259"/>
  <c r="B38" i="259"/>
  <c r="B37" i="259"/>
  <c r="B36" i="259"/>
  <c r="B35" i="259"/>
  <c r="B34" i="259"/>
  <c r="B33" i="259"/>
  <c r="B32" i="259"/>
  <c r="B31" i="259"/>
  <c r="B30" i="259"/>
  <c r="B29" i="259"/>
  <c r="B28" i="259"/>
  <c r="B27" i="259"/>
  <c r="A26" i="259"/>
  <c r="A23" i="259"/>
  <c r="A22" i="259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19" i="66" a="1"/>
  <c r="A10" i="66" a="1"/>
  <c r="A16" i="66" a="1"/>
  <c r="A11" i="66" a="1"/>
  <c r="A15" i="66" a="1"/>
  <c r="A17" i="66" a="1"/>
  <c r="A13" i="66" a="1"/>
  <c r="A12" i="66" a="1"/>
  <c r="A18" i="66" a="1"/>
  <c r="A8" i="66" a="1"/>
  <c r="A4" i="66" a="1"/>
  <c r="A9" i="66" a="1"/>
  <c r="A6" i="66" a="1"/>
  <c r="A7" i="66" a="1"/>
  <c r="A14" i="66" a="1"/>
  <c r="A3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75" i="258"/>
  <c r="C60" i="258"/>
  <c r="B60" i="258"/>
  <c r="B56" i="258"/>
  <c r="C48" i="258"/>
  <c r="B46" i="258"/>
  <c r="A45" i="258"/>
  <c r="B27" i="258"/>
  <c r="A26" i="258"/>
  <c r="A23" i="258"/>
  <c r="A22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4" i="229" l="1"/>
  <c r="B54" i="229"/>
  <c r="B50" i="229"/>
  <c r="C41" i="229"/>
  <c r="C65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2" i="229" l="1"/>
  <c r="C40" i="229"/>
  <c r="B38" i="229"/>
  <c r="A37" i="229"/>
  <c r="B23" i="229"/>
  <c r="A22" i="229"/>
  <c r="A19" i="229"/>
  <c r="A18" i="229"/>
  <c r="A2" i="66" a="1"/>
  <c r="A2" i="66" l="1"/>
  <c r="B2" i="66" s="1"/>
</calcChain>
</file>

<file path=xl/sharedStrings.xml><?xml version="1.0" encoding="utf-8"?>
<sst xmlns="http://schemas.openxmlformats.org/spreadsheetml/2006/main" count="519" uniqueCount="77">
  <si>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</si>
  <si>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</si>
  <si>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</si>
  <si>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</si>
  <si>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</si>
  <si>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</si>
  <si>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</si>
  <si>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</si>
  <si>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</si>
  <si>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</si>
  <si>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</si>
  <si>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</si>
  <si>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</si>
  <si>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</si>
  <si>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</si>
  <si>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</si>
  <si>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</si>
  <si>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</si>
  <si>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</si>
  <si>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</si>
  <si>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</si>
  <si>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</si>
  <si>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</si>
  <si>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</si>
  <si>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</si>
  <si>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</si>
  <si>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</si>
  <si>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</si>
  <si>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</si>
  <si>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</si>
  <si>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</si>
  <si>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</si>
  <si>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</si>
  <si>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</si>
  <si>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</si>
  <si>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</si>
  <si>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</si>
  <si>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</si>
  <si>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phần trăm, tiền</t>
  </si>
  <si>
    <t>so_luong</t>
  </si>
  <si>
    <t>Employee</t>
  </si>
  <si>
    <t>ma_nhan_vien</t>
  </si>
  <si>
    <t>ten_nhan_vien</t>
  </si>
  <si>
    <t>ten_cong_viec</t>
  </si>
  <si>
    <t>ma_cong_viec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</si>
  <si>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</si>
  <si>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</si>
  <si>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</si>
  <si>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</si>
  <si>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</si>
  <si>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</si>
  <si>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</si>
  <si>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</si>
  <si>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</si>
  <si>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</si>
  <si>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</si>
  <si>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A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</si>
  <si>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</si>
  <si>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</si>
  <si>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</si>
  <si>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</si>
  <si>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</si>
  <si>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</si>
  <si>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</si>
  <si>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</si>
  <si>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</si>
  <si>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</si>
  <si>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</si>
  <si>
    <t>loai_cong_viec</t>
  </si>
  <si>
    <t>float</t>
  </si>
  <si>
    <t>'A'</t>
  </si>
  <si>
    <t>Working_Time</t>
  </si>
  <si>
    <t>ma_ca_lam_viec</t>
  </si>
  <si>
    <t>ten_ca_lam_viec</t>
  </si>
  <si>
    <t>ghi_chu</t>
  </si>
  <si>
    <t>Check_In</t>
  </si>
  <si>
    <t>ngay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</si>
</sst>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4" fillId="0" borderId="0"/>
  </cellStyleXfs>
  <cellXfs count="47">
    <xf numFmtId="0" fontId="0" fillId="0" borderId="0" xfId="0"/>
    <xf numFmtId="0" fontId="0" fillId="2" borderId="0" xfId="0" applyFill="1"/>
    <xf numFmtId="0" fontId="6" fillId="0" borderId="0" xfId="0" applyFont="1"/>
    <xf numFmtId="0" fontId="5" fillId="0" borderId="0" xfId="0" applyFont="1"/>
    <xf numFmtId="49" fontId="5" fillId="0" borderId="0" xfId="0" applyNumberFormat="1" applyFont="1" applyAlignment="1">
      <alignment horizontal="center"/>
    </xf>
    <xf numFmtId="0" fontId="6" fillId="3" borderId="0" xfId="0" applyFont="1" applyFill="1" applyBorder="1"/>
    <xf numFmtId="0" fontId="5" fillId="3" borderId="0" xfId="0" applyFont="1" applyFill="1" applyBorder="1"/>
    <xf numFmtId="49" fontId="5" fillId="3" borderId="0" xfId="0" applyNumberFormat="1" applyFont="1" applyFill="1" applyBorder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3" borderId="3" xfId="0" quotePrefix="1" applyFont="1" applyFill="1" applyBorder="1"/>
    <xf numFmtId="0" fontId="6" fillId="3" borderId="4" xfId="0" applyFont="1" applyFill="1" applyBorder="1"/>
    <xf numFmtId="0" fontId="6" fillId="3" borderId="5" xfId="0" applyFont="1" applyFill="1" applyBorder="1"/>
    <xf numFmtId="0" fontId="5" fillId="3" borderId="5" xfId="0" applyFont="1" applyFill="1" applyBorder="1"/>
    <xf numFmtId="49" fontId="5" fillId="3" borderId="5" xfId="0" applyNumberFormat="1" applyFont="1" applyFill="1" applyBorder="1" applyAlignment="1">
      <alignment horizontal="center"/>
    </xf>
    <xf numFmtId="0" fontId="6" fillId="3" borderId="6" xfId="0" applyFont="1" applyFill="1" applyBorder="1"/>
    <xf numFmtId="0" fontId="6" fillId="0" borderId="4" xfId="0" applyFont="1" applyBorder="1"/>
    <xf numFmtId="0" fontId="6" fillId="0" borderId="5" xfId="0" applyFont="1" applyBorder="1"/>
    <xf numFmtId="0" fontId="5" fillId="0" borderId="5" xfId="0" applyFont="1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10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8" fillId="0" borderId="15" xfId="1" applyBorder="1"/>
    <xf numFmtId="0" fontId="0" fillId="7" borderId="15" xfId="0" applyFill="1" applyBorder="1"/>
    <xf numFmtId="0" fontId="9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3" fillId="0" borderId="0" xfId="2" applyFont="1"/>
    <xf numFmtId="0" fontId="2" fillId="0" borderId="0" xfId="2" applyFont="1"/>
    <xf numFmtId="14" fontId="6" fillId="3" borderId="0" xfId="0" applyNumberFormat="1" applyFont="1" applyFill="1" applyBorder="1"/>
    <xf numFmtId="0" fontId="0" fillId="0" borderId="10" xfId="0" quotePrefix="1" applyFont="1" applyBorder="1"/>
    <xf numFmtId="0" fontId="1" fillId="0" borderId="0" xfId="2" applyFont="1"/>
    <xf numFmtId="0" fontId="5" fillId="3" borderId="1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Working_Time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Check_In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Lenh_San_Xuat</v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>Phan_Cong_Nhiem_Vu</v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sqref="A1:XFD1048576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44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1" t="s">
        <v>68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45</v>
      </c>
      <c r="B8" s="23" t="s">
        <v>69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23"/>
      <c r="H9" s="23" t="s">
        <v>56</v>
      </c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[loai_cong_viec]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[float] NOT NULL, </v>
      </c>
      <c r="C26" s="5"/>
      <c r="D26" s="5"/>
      <c r="E26" s="42">
        <v>42947</v>
      </c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loai_cong_viec  { get; set; }</v>
      </c>
    </row>
    <row r="52" spans="1:3" x14ac:dyDescent="0.25">
      <c r="A52" s="33" t="s">
        <v>31</v>
      </c>
      <c r="B52" s="33" t="str">
        <f t="shared" si="1"/>
        <v>float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workbookViewId="0">
      <selection activeCell="A5" sqref="A5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40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300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49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50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51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33</v>
      </c>
      <c r="B10" s="23" t="s">
        <v>20</v>
      </c>
      <c r="C10" s="27">
        <v>50</v>
      </c>
      <c r="D10" s="23"/>
      <c r="E10" s="23"/>
      <c r="F10" s="23" t="b">
        <v>1</v>
      </c>
      <c r="G10" s="43" t="s">
        <v>70</v>
      </c>
      <c r="H10" s="23"/>
      <c r="I10" s="24"/>
      <c r="J10" s="25"/>
    </row>
    <row r="11" spans="1:12" x14ac:dyDescent="0.25">
      <c r="A11" s="22" t="s">
        <v>21</v>
      </c>
      <c r="B11" s="23" t="s">
        <v>9</v>
      </c>
      <c r="C11" s="27"/>
      <c r="D11" s="23"/>
      <c r="E11" s="23"/>
      <c r="F11" s="23" t="b">
        <v>1</v>
      </c>
      <c r="G11" s="31"/>
      <c r="H11" s="31"/>
      <c r="I11" s="32"/>
      <c r="J11" s="25"/>
    </row>
    <row r="12" spans="1:12" x14ac:dyDescent="0.25">
      <c r="A12" s="22" t="s">
        <v>22</v>
      </c>
      <c r="B12" s="23" t="s">
        <v>20</v>
      </c>
      <c r="C12" s="27">
        <v>32</v>
      </c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2" x14ac:dyDescent="0.25">
      <c r="A14" s="22" t="s">
        <v>24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2" ht="13.8" thickBot="1" x14ac:dyDescent="0.3"/>
    <row r="16" spans="1:12" ht="13.8" thickBot="1" x14ac:dyDescent="0.3">
      <c r="A16" s="45" t="s">
        <v>10</v>
      </c>
      <c r="B16" s="46"/>
      <c r="C16" s="16"/>
      <c r="D16" s="17"/>
      <c r="E16" s="17"/>
      <c r="F16" s="18"/>
      <c r="G16" s="18"/>
      <c r="H16" s="18"/>
      <c r="I16" s="18"/>
      <c r="J16" s="18"/>
      <c r="K16" s="18"/>
      <c r="L16" s="18"/>
    </row>
    <row r="17" spans="1:12" x14ac:dyDescent="0.25">
      <c r="A17" s="5"/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tr">
        <f>"drop table [dbo].["&amp;$B$1&amp;"]"</f>
        <v>drop table [dbo].[Employee]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">
        <v>11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 t="str">
        <f>"CREATE TABLE [dbo].["&amp;$B$1&amp;"] ("</f>
        <v>CREATE TABLE [dbo].[Employee] (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ref="B24:B3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[ten_nhan_vien] [nvarchar] (300)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[birthday] [datetime]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[mat_khau] [nvarchar] (100)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[loai_nhan_vien]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[trang_thai] [nvarchar] (50) NULL DEFAULT ('A'),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[ngay_tao]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[nguoi_tao]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[ngay_cap_nhat]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>[nguoi_cap_nhat] [nvarchar] (32) NULL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 t="s">
        <v>12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tr">
        <f>"ALTER TABLE [dbo].["&amp;$B$1&amp;"] ADD"</f>
        <v>ALTER TABLE [dbo].[Employee] ADD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 t="str">
        <f>"CONSTRAINT [PK_"&amp;$B$1&amp;"] PRIMARY KEY  CLUSTERED"</f>
        <v>CONSTRAINT [PK_Employee] PRIMARY KEY  CLUSTERED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13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IF(D4=TRUE, "["&amp;A4&amp;"]"&amp;IF(D5="", "", ", "), "")</f>
        <v>[id]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/>
      <c r="C41" s="5" t="str">
        <f>IF(D5=TRUE, "["&amp;A5&amp;"]"&amp;IF(D6="", "", ", "), "")</f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IF(D6=TRUE, "["&amp;A6&amp;"]"&amp;IF(D7="", "", ", "), "")</f>
        <v/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Employee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4" si="1">IF(OR($B5="nvarchar",$B5="varchar"),"string",IF($B5="datetime","DateTime",$B5))</f>
        <v>string</v>
      </c>
      <c r="C55" s="33" t="str">
        <f t="shared" ref="C55:C64" si="2">A5&amp;" "&amp;$C$46</f>
        <v>ma_nhan_vien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ten_nhan_vien  { get; set; }</v>
      </c>
    </row>
    <row r="57" spans="1:3" x14ac:dyDescent="0.25">
      <c r="A57" s="33" t="s">
        <v>31</v>
      </c>
      <c r="B57" s="33" t="str">
        <f t="shared" si="1"/>
        <v>DateTime</v>
      </c>
      <c r="C57" s="33" t="str">
        <f t="shared" si="2"/>
        <v>birthday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mat_khau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loai_nhan_vien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trang_thai  { get; set; }</v>
      </c>
    </row>
    <row r="61" spans="1:3" x14ac:dyDescent="0.25">
      <c r="A61" s="33" t="s">
        <v>31</v>
      </c>
      <c r="B61" s="33" t="str">
        <f t="shared" si="1"/>
        <v>DateTime</v>
      </c>
      <c r="C61" s="33" t="str">
        <f t="shared" si="2"/>
        <v>ngay_tao  { get; set; }</v>
      </c>
    </row>
    <row r="62" spans="1:3" x14ac:dyDescent="0.25">
      <c r="A62" s="33" t="s">
        <v>31</v>
      </c>
      <c r="B62" s="33" t="str">
        <f t="shared" si="1"/>
        <v>string</v>
      </c>
      <c r="C62" s="33" t="str">
        <f t="shared" si="2"/>
        <v>nguoi_tao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ngay_cap_nhat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nguoi_cap_nhat  { get; set; }</v>
      </c>
    </row>
    <row r="65" spans="1:3" x14ac:dyDescent="0.25">
      <c r="A65" s="33" t="s">
        <v>32</v>
      </c>
      <c r="B65" s="33"/>
      <c r="C65" s="33" t="str">
        <f>IF($B16="nvarchar","("&amp;$C$5&amp;")",IF($B16="varchar","("&amp;$C16&amp;")",""))</f>
        <v/>
      </c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opLeftCell="A13" workbookViewId="0">
      <selection activeCell="A15" sqref="A15:D36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48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44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workbookViewId="0">
      <selection sqref="A1:XFD1048576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52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54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zoomScaleNormal="100" workbookViewId="0"/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44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55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5" t="s">
        <v>10</v>
      </c>
      <c r="B14" s="46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topLeftCell="A19" workbookViewId="0">
      <selection activeCell="E42" sqref="E42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71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4" t="s">
        <v>72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4" t="s">
        <v>73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4" t="s">
        <v>66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4" t="s">
        <v>66</v>
      </c>
      <c r="B8" s="23" t="s">
        <v>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23"/>
      <c r="H9" s="23" t="s">
        <v>56</v>
      </c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5" t="s">
        <v>10</v>
      </c>
      <c r="B15" s="46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object_id(N'[dbo].[Working_Time]')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[dbo].[Working_Time]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[dbo].[Working_Time]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[ma_ca_lam_viec]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[ten_ca_lam_viec]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[thoi_gian_bat_dau] [datetime]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[thoi_gian_bat_dau] [datetime] NOT NULL, </v>
      </c>
      <c r="C26" s="5"/>
      <c r="D26" s="5"/>
      <c r="E26" s="42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[dbo].[Working_Time]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[PK_Working_Time]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Working_Time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ma_ca_lam_viec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ten_ca_lam_viec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thoi_gian_bat_dau  { get; set; }</v>
      </c>
    </row>
    <row r="52" spans="1:3" x14ac:dyDescent="0.25">
      <c r="A52" s="33" t="s">
        <v>31</v>
      </c>
      <c r="B52" s="33" t="str">
        <f t="shared" si="1"/>
        <v>DateTime</v>
      </c>
      <c r="C52" s="33" t="str">
        <f t="shared" si="2"/>
        <v>thoi_gian_bat_dau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0"/>
  <sheetViews>
    <sheetView tabSelected="1" topLeftCell="A10" workbookViewId="0">
      <selection activeCell="A15" sqref="A15:G36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75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76</v>
      </c>
      <c r="B6" s="23" t="s">
        <v>9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5" t="s">
        <v>10</v>
      </c>
      <c r="B13" s="46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object_id(N'[dbo].[Check_In]')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[dbo].[Check_In]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[dbo].[Check_In]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[ngay] [datetime]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[dbo].[Check_In]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[PK_Check_In]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Check_In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ma_nhan_vien  { get; set; }</v>
      </c>
    </row>
    <row r="44" spans="1:12" x14ac:dyDescent="0.25">
      <c r="A44" s="33" t="s">
        <v>31</v>
      </c>
      <c r="B44" s="33" t="str">
        <f t="shared" si="1"/>
        <v>DateTime</v>
      </c>
      <c r="C44" s="33" t="str">
        <f t="shared" si="2"/>
        <v>ngay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  <row r="60" spans="1:3" x14ac:dyDescent="0.25">
      <c r="B60" t="s">
        <v>75</v>
      </c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"/>
  <sheetViews>
    <sheetView topLeftCell="A49" workbookViewId="0">
      <selection activeCell="F70" sqref="F70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57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58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59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60</v>
      </c>
      <c r="B7" s="23" t="s">
        <v>20</v>
      </c>
      <c r="C7" s="27">
        <v>100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39</v>
      </c>
      <c r="B8" s="23" t="s">
        <v>19</v>
      </c>
      <c r="C8" s="27"/>
      <c r="D8" s="23"/>
      <c r="E8" s="23"/>
      <c r="F8" s="23"/>
      <c r="G8" s="23"/>
      <c r="H8" s="23"/>
      <c r="I8" s="24" t="s">
        <v>38</v>
      </c>
      <c r="J8" s="25"/>
    </row>
    <row r="9" spans="1:10" x14ac:dyDescent="0.25">
      <c r="A9" s="22" t="s">
        <v>53</v>
      </c>
      <c r="B9" s="23" t="s">
        <v>7</v>
      </c>
      <c r="C9" s="27">
        <v>40</v>
      </c>
      <c r="D9" s="23"/>
      <c r="E9" s="23"/>
      <c r="F9" s="23"/>
      <c r="G9" s="23"/>
      <c r="H9" s="23"/>
      <c r="I9" s="24"/>
      <c r="J9" s="25"/>
    </row>
    <row r="10" spans="1:10" x14ac:dyDescent="0.25">
      <c r="A10" s="22" t="s">
        <v>61</v>
      </c>
      <c r="B10" s="23" t="s">
        <v>9</v>
      </c>
      <c r="C10" s="27"/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62</v>
      </c>
      <c r="B11" s="23" t="s">
        <v>20</v>
      </c>
      <c r="C11" s="27">
        <v>50</v>
      </c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63</v>
      </c>
      <c r="B12" s="23" t="s">
        <v>46</v>
      </c>
      <c r="C12" s="27"/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74</v>
      </c>
      <c r="B14" s="23" t="s">
        <v>20</v>
      </c>
      <c r="C14" s="27">
        <v>1000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21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22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23</v>
      </c>
      <c r="B17" s="23" t="s">
        <v>9</v>
      </c>
      <c r="C17" s="27"/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24</v>
      </c>
      <c r="B18" s="23" t="s">
        <v>20</v>
      </c>
      <c r="C18" s="27">
        <v>32</v>
      </c>
      <c r="D18" s="23"/>
      <c r="E18" s="23"/>
      <c r="F18" s="23" t="b">
        <v>1</v>
      </c>
      <c r="G18" s="23"/>
      <c r="H18" s="23"/>
      <c r="I18" s="24"/>
      <c r="J18" s="25"/>
    </row>
    <row r="19" spans="1:12" ht="13.8" thickBot="1" x14ac:dyDescent="0.3"/>
    <row r="20" spans="1:12" ht="13.8" thickBot="1" x14ac:dyDescent="0.3">
      <c r="A20" s="45" t="s">
        <v>10</v>
      </c>
      <c r="B20" s="46"/>
      <c r="C20" s="16"/>
      <c r="D20" s="17"/>
      <c r="E20" s="17"/>
      <c r="F20" s="18"/>
      <c r="G20" s="18"/>
      <c r="H20" s="18"/>
      <c r="I20" s="18"/>
      <c r="J20" s="18"/>
      <c r="K20" s="18"/>
      <c r="L20" s="18"/>
    </row>
    <row r="21" spans="1:12" x14ac:dyDescent="0.25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tr">
        <f>"drop table [dbo].["&amp;$B$1&amp;"]"</f>
        <v>drop table [dbo].[Lenh_San_Xuat]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 t="str">
        <f>"CREATE TABLE [dbo].["&amp;$B$1&amp;"] ("</f>
        <v>CREATE TABLE [dbo].[Lenh_San_Xuat] (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ref="B28:B4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[don_vi_mua_hang] [nvarchar] (200)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[ma_san_pham_sx] [nvarchar]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[so_luong] [int]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[ma_quy_trinh_sx] [varchar] (40)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 xml:space="preserve">[thoi_gian_du_kien] [datetime]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 t="shared" si="0"/>
        <v xml:space="preserve">[ban_ve] [nvarchar] (50)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 t="shared" si="0"/>
        <v xml:space="preserve">[khoi_luong] [double] ()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str">
        <f t="shared" si="0"/>
        <v xml:space="preserve">[trang_thai] [varchar] (32)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str">
        <f t="shared" si="0"/>
        <v xml:space="preserve">[ghi_chu] [nvarchar] (1000)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si="0"/>
        <v xml:space="preserve">[ngay_tao] [datetime]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[nguoi_tao] [nvarchar] (32)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[ngay_cap_nhat]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>[nguoi_cap_nhat] [nvarchar] (32) NULL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 t="s">
        <v>12</v>
      </c>
      <c r="B42" s="5"/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 t="s">
        <v>11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/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tr">
        <f>"ALTER TABLE [dbo].["&amp;$B$1&amp;"] ADD"</f>
        <v>ALTER TABLE [dbo].[Lenh_San_Xuat] ADD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 t="str">
        <f>"CONSTRAINT [PK_"&amp;$B$1&amp;"] PRIMARY KEY  CLUSTERED"</f>
        <v>CONSTRAINT [PK_Lenh_San_Xuat] PRIMARY KEY  CLUSTERED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/>
      <c r="B47" s="5" t="s">
        <v>13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/>
      <c r="C48" s="5" t="str">
        <f>IF(D4=TRUE, "["&amp;A4&amp;"]"&amp;IF(D5="", "", ", "), "")</f>
        <v>[id]</v>
      </c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14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ht="13.8" thickBot="1" x14ac:dyDescent="0.3">
      <c r="A50" s="11" t="s">
        <v>11</v>
      </c>
      <c r="B50" s="12"/>
      <c r="C50" s="12"/>
      <c r="D50" s="12"/>
      <c r="E50" s="12"/>
      <c r="F50" s="13"/>
      <c r="G50" s="12"/>
      <c r="H50" s="12"/>
      <c r="I50" s="14"/>
      <c r="J50" s="14"/>
      <c r="K50" s="12"/>
      <c r="L50" s="15"/>
    </row>
    <row r="51" spans="1:12" x14ac:dyDescent="0.25">
      <c r="A51" s="2"/>
      <c r="B51" s="2"/>
      <c r="C51" s="2"/>
      <c r="D51" s="2"/>
      <c r="E51" s="2"/>
      <c r="F51" s="3"/>
      <c r="G51" s="2"/>
      <c r="H51" s="2"/>
      <c r="I51" s="4"/>
      <c r="J51" s="4"/>
      <c r="K51" s="2"/>
      <c r="L51" s="2"/>
    </row>
    <row r="52" spans="1:12" x14ac:dyDescent="0.25">
      <c r="C52" t="s">
        <v>26</v>
      </c>
    </row>
    <row r="56" spans="1:12" x14ac:dyDescent="0.25">
      <c r="A56" s="33" t="s">
        <v>27</v>
      </c>
      <c r="B56" s="33" t="str">
        <f>B1</f>
        <v>Lenh_San_Xuat</v>
      </c>
      <c r="C56" s="33"/>
    </row>
    <row r="57" spans="1:12" x14ac:dyDescent="0.25">
      <c r="A57" s="33" t="s">
        <v>28</v>
      </c>
      <c r="B57" s="33"/>
      <c r="C57" s="33"/>
    </row>
    <row r="58" spans="1:12" x14ac:dyDescent="0.25">
      <c r="A58" s="33"/>
      <c r="B58" s="33" t="s">
        <v>29</v>
      </c>
      <c r="C58" s="33"/>
    </row>
    <row r="59" spans="1:12" x14ac:dyDescent="0.25">
      <c r="A59" s="33"/>
      <c r="B59" s="33" t="s">
        <v>30</v>
      </c>
      <c r="C59" s="33"/>
    </row>
    <row r="60" spans="1:12" x14ac:dyDescent="0.25">
      <c r="A60" s="33" t="s">
        <v>31</v>
      </c>
      <c r="B60" s="33" t="str">
        <f>IF(OR($B4="nvarchar",$B4="varchar"),"string",IF($B4="datetime","DateTime",$B4))</f>
        <v>int</v>
      </c>
      <c r="C60" s="33" t="str">
        <f>A4&amp;" "&amp;$C$52</f>
        <v>id  { get; set; }</v>
      </c>
    </row>
    <row r="61" spans="1:12" x14ac:dyDescent="0.25">
      <c r="A61" s="33" t="s">
        <v>31</v>
      </c>
      <c r="B61" s="33" t="str">
        <f t="shared" ref="B61:B74" si="1">IF(OR($B5="nvarchar",$B5="varchar"),"string",IF($B5="datetime","DateTime",$B5))</f>
        <v>string</v>
      </c>
      <c r="C61" s="33" t="str">
        <f t="shared" ref="C61:C74" si="2">A5&amp;" "&amp;$C$52</f>
        <v>ma_lenh_sx  { get; set; }</v>
      </c>
    </row>
    <row r="62" spans="1:12" x14ac:dyDescent="0.25">
      <c r="A62" s="33" t="s">
        <v>31</v>
      </c>
      <c r="B62" s="33" t="str">
        <f t="shared" si="1"/>
        <v>string</v>
      </c>
      <c r="C62" s="33" t="str">
        <f t="shared" si="2"/>
        <v>don_vi_mua_hang  { get; set; }</v>
      </c>
    </row>
    <row r="63" spans="1:12" x14ac:dyDescent="0.25">
      <c r="A63" s="33" t="s">
        <v>31</v>
      </c>
      <c r="B63" s="33" t="str">
        <f t="shared" si="1"/>
        <v>string</v>
      </c>
      <c r="C63" s="33" t="str">
        <f t="shared" si="2"/>
        <v>ma_san_pham_sx  { get; set; }</v>
      </c>
    </row>
    <row r="64" spans="1:12" x14ac:dyDescent="0.25">
      <c r="A64" s="33" t="s">
        <v>31</v>
      </c>
      <c r="B64" s="33" t="str">
        <f t="shared" si="1"/>
        <v>int</v>
      </c>
      <c r="C64" s="33" t="str">
        <f t="shared" si="2"/>
        <v>so_luong  { get; set; }</v>
      </c>
    </row>
    <row r="65" spans="1:3" x14ac:dyDescent="0.25">
      <c r="A65" s="33" t="s">
        <v>31</v>
      </c>
      <c r="B65" s="33" t="str">
        <f t="shared" si="1"/>
        <v>string</v>
      </c>
      <c r="C65" s="33" t="str">
        <f t="shared" si="2"/>
        <v>ma_quy_trinh_sx  { get; set; }</v>
      </c>
    </row>
    <row r="66" spans="1:3" x14ac:dyDescent="0.25">
      <c r="A66" s="33" t="s">
        <v>31</v>
      </c>
      <c r="B66" s="33" t="str">
        <f t="shared" si="1"/>
        <v>DateTime</v>
      </c>
      <c r="C66" s="33" t="str">
        <f t="shared" si="2"/>
        <v>thoi_gian_du_kien  { get; set; }</v>
      </c>
    </row>
    <row r="67" spans="1:3" x14ac:dyDescent="0.25">
      <c r="A67" s="33" t="s">
        <v>31</v>
      </c>
      <c r="B67" s="33" t="str">
        <f t="shared" si="1"/>
        <v>string</v>
      </c>
      <c r="C67" s="33" t="str">
        <f t="shared" si="2"/>
        <v>ban_ve  { get; set; }</v>
      </c>
    </row>
    <row r="68" spans="1:3" x14ac:dyDescent="0.25">
      <c r="A68" s="33" t="s">
        <v>31</v>
      </c>
      <c r="B68" s="33" t="str">
        <f t="shared" si="1"/>
        <v>double</v>
      </c>
      <c r="C68" s="33" t="str">
        <f t="shared" si="2"/>
        <v>khoi_luong  { get; set; }</v>
      </c>
    </row>
    <row r="69" spans="1:3" x14ac:dyDescent="0.25">
      <c r="A69" s="33" t="s">
        <v>31</v>
      </c>
      <c r="B69" s="33" t="str">
        <f t="shared" si="1"/>
        <v>string</v>
      </c>
      <c r="C69" s="33" t="str">
        <f t="shared" si="2"/>
        <v>trang_thai  { get; set; }</v>
      </c>
    </row>
    <row r="70" spans="1:3" x14ac:dyDescent="0.25">
      <c r="A70" s="33" t="s">
        <v>31</v>
      </c>
      <c r="B70" s="33" t="str">
        <f t="shared" si="1"/>
        <v>string</v>
      </c>
      <c r="C70" s="33" t="str">
        <f t="shared" si="2"/>
        <v>ghi_chu  { get; set; }</v>
      </c>
    </row>
    <row r="71" spans="1:3" x14ac:dyDescent="0.25">
      <c r="A71" s="33" t="s">
        <v>31</v>
      </c>
      <c r="B71" s="33" t="str">
        <f t="shared" si="1"/>
        <v>DateTime</v>
      </c>
      <c r="C71" s="33" t="str">
        <f t="shared" si="2"/>
        <v>ngay_tao  { get; set; }</v>
      </c>
    </row>
    <row r="72" spans="1:3" x14ac:dyDescent="0.25">
      <c r="A72" s="33" t="s">
        <v>31</v>
      </c>
      <c r="B72" s="33" t="str">
        <f t="shared" si="1"/>
        <v>string</v>
      </c>
      <c r="C72" s="33" t="str">
        <f t="shared" si="2"/>
        <v>nguoi_tao  { get; set; }</v>
      </c>
    </row>
    <row r="73" spans="1:3" x14ac:dyDescent="0.25">
      <c r="A73" s="33" t="s">
        <v>31</v>
      </c>
      <c r="B73" s="33" t="str">
        <f t="shared" si="1"/>
        <v>DateTime</v>
      </c>
      <c r="C73" s="33" t="str">
        <f t="shared" si="2"/>
        <v>ngay_cap_nhat  { get; set; }</v>
      </c>
    </row>
    <row r="74" spans="1:3" x14ac:dyDescent="0.25">
      <c r="A74" s="33" t="s">
        <v>31</v>
      </c>
      <c r="B74" s="33" t="str">
        <f t="shared" si="1"/>
        <v>string</v>
      </c>
      <c r="C74" s="33" t="str">
        <f t="shared" si="2"/>
        <v>nguoi_cap_nhat  { get; set; }</v>
      </c>
    </row>
    <row r="75" spans="1:3" ht="14.4" customHeight="1" x14ac:dyDescent="0.25">
      <c r="A75" s="33" t="s">
        <v>32</v>
      </c>
      <c r="B75" s="33"/>
      <c r="C75" s="33" t="str">
        <f>IF($B20="nvarchar","("&amp;$C$5&amp;")",IF($B20="varchar","("&amp;$C20&amp;")",""))</f>
        <v/>
      </c>
    </row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7"/>
  <sheetViews>
    <sheetView workbookViewId="0">
      <selection activeCell="A11" sqref="A11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65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58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34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44</v>
      </c>
      <c r="B7" s="23" t="s">
        <v>7</v>
      </c>
      <c r="C7" s="27">
        <v>40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41</v>
      </c>
      <c r="B8" s="23" t="s">
        <v>7</v>
      </c>
      <c r="C8" s="27">
        <v>100</v>
      </c>
      <c r="D8" s="23"/>
      <c r="E8" s="23"/>
      <c r="F8" s="23"/>
      <c r="G8" s="23"/>
      <c r="H8" s="23"/>
      <c r="I8" s="24"/>
      <c r="J8" s="25"/>
    </row>
    <row r="9" spans="1:10" x14ac:dyDescent="0.25">
      <c r="A9" s="22" t="s">
        <v>66</v>
      </c>
      <c r="B9" s="23" t="s">
        <v>9</v>
      </c>
      <c r="C9" s="27"/>
      <c r="D9" s="23"/>
      <c r="E9" s="23"/>
      <c r="F9" s="23"/>
      <c r="G9" s="23"/>
      <c r="H9" s="23"/>
      <c r="I9" s="24" t="s">
        <v>38</v>
      </c>
      <c r="J9" s="25"/>
    </row>
    <row r="10" spans="1:10" x14ac:dyDescent="0.25">
      <c r="A10" s="22" t="s">
        <v>64</v>
      </c>
      <c r="B10" s="23" t="s">
        <v>9</v>
      </c>
      <c r="C10" s="27">
        <v>40</v>
      </c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61</v>
      </c>
      <c r="B11" s="23" t="s">
        <v>9</v>
      </c>
      <c r="C11" s="27"/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62</v>
      </c>
      <c r="B12" s="23" t="s">
        <v>20</v>
      </c>
      <c r="C12" s="27">
        <v>50</v>
      </c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63</v>
      </c>
      <c r="B13" s="23" t="s">
        <v>46</v>
      </c>
      <c r="C13" s="27"/>
      <c r="D13" s="23"/>
      <c r="E13" s="23"/>
      <c r="F13" s="23"/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21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22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23</v>
      </c>
      <c r="B17" s="23" t="s">
        <v>9</v>
      </c>
      <c r="C17" s="27"/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24</v>
      </c>
      <c r="B18" s="23" t="s">
        <v>20</v>
      </c>
      <c r="C18" s="27">
        <v>32</v>
      </c>
      <c r="D18" s="23"/>
      <c r="E18" s="23"/>
      <c r="F18" s="23" t="b">
        <v>1</v>
      </c>
      <c r="G18" s="23"/>
      <c r="H18" s="23"/>
      <c r="I18" s="24"/>
      <c r="J18" s="25"/>
    </row>
    <row r="19" spans="1:12" ht="13.8" thickBot="1" x14ac:dyDescent="0.3"/>
    <row r="20" spans="1:12" ht="13.8" thickBot="1" x14ac:dyDescent="0.3">
      <c r="A20" s="45" t="s">
        <v>10</v>
      </c>
      <c r="B20" s="46"/>
      <c r="C20" s="16"/>
      <c r="D20" s="17"/>
      <c r="E20" s="17"/>
      <c r="F20" s="18"/>
      <c r="G20" s="18"/>
      <c r="H20" s="18"/>
      <c r="I20" s="18"/>
      <c r="J20" s="18"/>
      <c r="K20" s="18"/>
      <c r="L20" s="18"/>
    </row>
    <row r="21" spans="1:12" x14ac:dyDescent="0.25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tr">
        <f>"drop table [dbo].["&amp;$B$1&amp;"]"</f>
        <v>drop table [dbo].[Phan_Cong_Nhiem_Vu]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 t="str">
        <f>"CREATE TABLE [dbo].["&amp;$B$1&amp;"] ("</f>
        <v>CREATE TABLE [dbo].[Phan_Cong_Nhiem_Vu] (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("&amp;G6&amp;")","")&amp;IF(A8&lt;&gt;"",", ", "")</f>
        <v xml:space="preserve">[ma_san_pham] [nvarchar] (200)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[ma_nhan_vien] [varchar]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[thoi_gian_bat_dau] [datetime]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("&amp;G10&amp;")","")&amp;IF(#REF!&lt;&gt;"",",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("&amp;#REF!&amp;")","")&amp;IF(A11&lt;&gt;"",", ", "")</f>
        <v>#REF!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[thoi_gian_du_kien] [datetime]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[ban_ve] [nvarchar] (50)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("&amp;#REF!&amp;")","")&amp;IF(A14&lt;&gt;"",", ", "")</f>
        <v>#REF!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ref="B39:B43" si="0"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[trang_thai] [varchar] (32)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[dbo].[Phan_Cong_Nhiem_Vu]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[PK_Phan_Cong_Nhiem_Vu]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Phan_Cong_Nhiem_Vu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>IF(OR($B5="nvarchar",$B5="varchar"),"string",IF($B5="datetime","DateTime",$B5))</f>
        <v>string</v>
      </c>
      <c r="C63" s="33" t="str">
        <f>A5&amp;" "&amp;$C$54</f>
        <v>ma_lenh_sx  { get; set; }</v>
      </c>
    </row>
    <row r="64" spans="1:12" x14ac:dyDescent="0.25">
      <c r="A64" s="33" t="s">
        <v>31</v>
      </c>
      <c r="B64" s="33" t="str">
        <f>IF(OR($B6="nvarchar",$B6="varchar"),"string",IF($B6="datetime","DateTime",$B6))</f>
        <v>string</v>
      </c>
      <c r="C64" s="33" t="str">
        <f>A6&amp;" "&amp;$C$54</f>
        <v>ma_san_pham  { get; set; }</v>
      </c>
    </row>
    <row r="65" spans="1:3" x14ac:dyDescent="0.25">
      <c r="A65" s="33" t="s">
        <v>31</v>
      </c>
      <c r="B65" s="33" t="str">
        <f>IF(OR($B8="nvarchar",$B8="varchar"),"string",IF($B8="datetime","DateTime",$B8))</f>
        <v>string</v>
      </c>
      <c r="C65" s="33" t="str">
        <f>A8&amp;" "&amp;$C$54</f>
        <v>ma_nhan_vien  { get; set; }</v>
      </c>
    </row>
    <row r="66" spans="1:3" x14ac:dyDescent="0.25">
      <c r="A66" s="33" t="s">
        <v>31</v>
      </c>
      <c r="B66" s="33" t="str">
        <f>IF(OR($B9="nvarchar",$B9="varchar"),"string",IF($B9="datetime","DateTime",$B9))</f>
        <v>DateTime</v>
      </c>
      <c r="C66" s="33" t="str">
        <f>A9&amp;" "&amp;$C$54</f>
        <v>thoi_gian_bat_dau  { get; set; }</v>
      </c>
    </row>
    <row r="67" spans="1:3" x14ac:dyDescent="0.25">
      <c r="A67" s="33" t="s">
        <v>31</v>
      </c>
      <c r="B67" s="33" t="str">
        <f>IF(OR($B10="nvarchar",$B10="varchar"),"string",IF($B10="datetime","DateTime",$B10))</f>
        <v>DateTime</v>
      </c>
      <c r="C67" s="33" t="str">
        <f>A10&amp;" "&amp;$C$54</f>
        <v>thoi_gian_ket_thuc  { get; set; }</v>
      </c>
    </row>
    <row r="68" spans="1:3" x14ac:dyDescent="0.25">
      <c r="A68" s="33" t="s">
        <v>31</v>
      </c>
      <c r="B68" s="33" t="e">
        <f>IF(OR(#REF!="nvarchar",#REF!="varchar"),"string",IF(#REF!="datetime","DateTime",#REF!))</f>
        <v>#REF!</v>
      </c>
      <c r="C68" s="33" t="e">
        <f>#REF!&amp;" "&amp;$C$54</f>
        <v>#REF!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DateTime</v>
      </c>
      <c r="C69" s="33" t="str">
        <f t="shared" ref="C69:C76" si="1">A11&amp;" "&amp;$C$54</f>
        <v>thoi_gian_du_kien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string</v>
      </c>
      <c r="C70" s="33" t="str">
        <f t="shared" si="1"/>
        <v>ban_ve  { get; set; }</v>
      </c>
    </row>
    <row r="71" spans="1:3" x14ac:dyDescent="0.25">
      <c r="A71" s="33" t="s">
        <v>31</v>
      </c>
      <c r="B71" s="33" t="str">
        <f>IF(OR($B13="nvarchar",$B13="varchar"),"string",IF($B13="datetime","DateTime",$B13))</f>
        <v>double</v>
      </c>
      <c r="C71" s="33" t="str">
        <f t="shared" si="1"/>
        <v>khoi_luong  { get; set; }</v>
      </c>
    </row>
    <row r="72" spans="1:3" x14ac:dyDescent="0.25">
      <c r="A72" s="33" t="s">
        <v>31</v>
      </c>
      <c r="B72" s="33" t="str">
        <f t="shared" ref="B72:B76" si="2">IF(OR($B14="nvarchar",$B14="varchar"),"string",IF($B14="datetime","DateTime",$B14))</f>
        <v>string</v>
      </c>
      <c r="C72" s="33" t="str">
        <f t="shared" si="1"/>
        <v>trang_thai  { get; set; }</v>
      </c>
    </row>
    <row r="73" spans="1:3" x14ac:dyDescent="0.25">
      <c r="A73" s="33" t="s">
        <v>31</v>
      </c>
      <c r="B73" s="33" t="str">
        <f t="shared" si="2"/>
        <v>DateTime</v>
      </c>
      <c r="C73" s="33" t="str">
        <f t="shared" si="1"/>
        <v>ngay_tao  { get; set; }</v>
      </c>
    </row>
    <row r="74" spans="1:3" x14ac:dyDescent="0.25">
      <c r="A74" s="33" t="s">
        <v>31</v>
      </c>
      <c r="B74" s="33" t="str">
        <f t="shared" si="2"/>
        <v>string</v>
      </c>
      <c r="C74" s="33" t="str">
        <f t="shared" si="1"/>
        <v>nguoi_tao  { get; set; }</v>
      </c>
    </row>
    <row r="75" spans="1:3" x14ac:dyDescent="0.25">
      <c r="A75" s="33" t="s">
        <v>31</v>
      </c>
      <c r="B75" s="33" t="str">
        <f t="shared" si="2"/>
        <v>DateTime</v>
      </c>
      <c r="C75" s="33" t="str">
        <f t="shared" si="1"/>
        <v>ngay_cap_nhat  { get; set; }</v>
      </c>
    </row>
    <row r="76" spans="1:3" x14ac:dyDescent="0.25">
      <c r="A76" s="33" t="s">
        <v>31</v>
      </c>
      <c r="B76" s="33" t="str">
        <f t="shared" si="2"/>
        <v>string</v>
      </c>
      <c r="C76" s="33" t="str">
        <f t="shared" si="1"/>
        <v>nguoi_cap_nhat  { get; set; }</v>
      </c>
    </row>
    <row r="77" spans="1:3" ht="14.4" customHeight="1" x14ac:dyDescent="0.25">
      <c r="A77" s="33" t="s">
        <v>32</v>
      </c>
      <c r="B77" s="33"/>
      <c r="C77" s="33" t="str">
        <f>IF($B20="nvarchar","("&amp;$C$5&amp;")",IF($B20="varchar","("&amp;$C20&amp;")",""))</f>
        <v/>
      </c>
    </row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 List</vt:lpstr>
      <vt:lpstr>Jobs</vt:lpstr>
      <vt:lpstr>Employee</vt:lpstr>
      <vt:lpstr>Employee_Job</vt:lpstr>
      <vt:lpstr>Process_Production</vt:lpstr>
      <vt:lpstr>Process_Production_Job</vt:lpstr>
      <vt:lpstr>Working_Time</vt:lpstr>
      <vt:lpstr>Check_In</vt:lpstr>
      <vt:lpstr>Lenh_San_Xuat</vt:lpstr>
      <vt:lpstr>Phan_Cong_Nhiem_Vu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2017-04-21T01:23:14Z</dcterms:modified>
</cp:coreProperties>
</file>